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eesan\OneDrive\Desktop\file\Pranav doc\knovista\project\1\"/>
    </mc:Choice>
  </mc:AlternateContent>
  <xr:revisionPtr revIDLastSave="0" documentId="13_ncr:1_{3B400A8A-FC29-41EB-9866-FBED090C0233}" xr6:coauthVersionLast="47" xr6:coauthVersionMax="47" xr10:uidLastSave="{00000000-0000-0000-0000-000000000000}"/>
  <bookViews>
    <workbookView xWindow="20" yWindow="20" windowWidth="19180" windowHeight="10060" activeTab="1" xr2:uid="{00000000-000D-0000-FFFF-FFFF00000000}"/>
  </bookViews>
  <sheets>
    <sheet name="pivot table1" sheetId="3" r:id="rId1"/>
    <sheet name="Sheet1" sheetId="1" r:id="rId2"/>
    <sheet name="pivot table2" sheetId="7" r:id="rId3"/>
    <sheet name="rsi" sheetId="8" r:id="rId4"/>
    <sheet name="dropdown" sheetId="6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8" l="1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16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2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" i="8"/>
  <c r="K3" i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" i="1"/>
  <c r="D2" i="6"/>
  <c r="D3" i="6" s="1"/>
  <c r="D4" i="6" s="1"/>
  <c r="D5" i="6" s="1"/>
  <c r="D6" i="6" s="1"/>
  <c r="D7" i="6" s="1"/>
  <c r="E7" i="6" s="1"/>
  <c r="D62" i="6"/>
  <c r="E62" i="6" s="1"/>
  <c r="D63" i="6"/>
  <c r="D64" i="6" s="1"/>
  <c r="D122" i="6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E181" i="6" s="1"/>
  <c r="D182" i="6"/>
  <c r="E182" i="6" s="1"/>
  <c r="D242" i="6"/>
  <c r="D243" i="6" s="1"/>
  <c r="D244" i="6" s="1"/>
  <c r="D245" i="6" s="1"/>
  <c r="D246" i="6" s="1"/>
  <c r="E246" i="6" s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240" i="1"/>
  <c r="J239" i="1"/>
  <c r="J238" i="1"/>
  <c r="J241" i="1"/>
  <c r="L241" i="1"/>
  <c r="K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241" i="1"/>
  <c r="D247" i="6" l="1"/>
  <c r="E247" i="6" s="1"/>
  <c r="D183" i="6"/>
  <c r="D184" i="6" s="1"/>
  <c r="D185" i="6" s="1"/>
  <c r="D65" i="6"/>
  <c r="E64" i="6"/>
  <c r="E183" i="6"/>
  <c r="D248" i="6"/>
  <c r="D8" i="6"/>
  <c r="E63" i="6"/>
  <c r="E175" i="6"/>
  <c r="E167" i="6"/>
  <c r="E159" i="6"/>
  <c r="E151" i="6"/>
  <c r="E143" i="6"/>
  <c r="E135" i="6"/>
  <c r="E127" i="6"/>
  <c r="E6" i="6"/>
  <c r="E245" i="6"/>
  <c r="E173" i="6"/>
  <c r="E165" i="6"/>
  <c r="E157" i="6"/>
  <c r="E149" i="6"/>
  <c r="E141" i="6"/>
  <c r="E133" i="6"/>
  <c r="E125" i="6"/>
  <c r="E5" i="6"/>
  <c r="E129" i="6"/>
  <c r="E176" i="6"/>
  <c r="E168" i="6"/>
  <c r="E160" i="6"/>
  <c r="E152" i="6"/>
  <c r="E144" i="6"/>
  <c r="E136" i="6"/>
  <c r="E128" i="6"/>
  <c r="E174" i="6"/>
  <c r="E158" i="6"/>
  <c r="E142" i="6"/>
  <c r="E126" i="6"/>
  <c r="E244" i="6"/>
  <c r="E180" i="6"/>
  <c r="E172" i="6"/>
  <c r="E164" i="6"/>
  <c r="E156" i="6"/>
  <c r="E148" i="6"/>
  <c r="E140" i="6"/>
  <c r="E132" i="6"/>
  <c r="E124" i="6"/>
  <c r="E4" i="6"/>
  <c r="E177" i="6"/>
  <c r="E169" i="6"/>
  <c r="E161" i="6"/>
  <c r="E153" i="6"/>
  <c r="E145" i="6"/>
  <c r="E137" i="6"/>
  <c r="E166" i="6"/>
  <c r="E150" i="6"/>
  <c r="E134" i="6"/>
  <c r="E243" i="6"/>
  <c r="E179" i="6"/>
  <c r="E171" i="6"/>
  <c r="E163" i="6"/>
  <c r="E155" i="6"/>
  <c r="E147" i="6"/>
  <c r="E139" i="6"/>
  <c r="E131" i="6"/>
  <c r="E123" i="6"/>
  <c r="E3" i="6"/>
  <c r="E242" i="6"/>
  <c r="E178" i="6"/>
  <c r="E170" i="6"/>
  <c r="E162" i="6"/>
  <c r="E154" i="6"/>
  <c r="E146" i="6"/>
  <c r="E138" i="6"/>
  <c r="E130" i="6"/>
  <c r="E122" i="6"/>
  <c r="E2" i="6"/>
  <c r="E184" i="6" l="1"/>
  <c r="E8" i="6"/>
  <c r="D9" i="6"/>
  <c r="D249" i="6"/>
  <c r="E248" i="6"/>
  <c r="D66" i="6"/>
  <c r="E65" i="6"/>
  <c r="D186" i="6"/>
  <c r="E185" i="6"/>
  <c r="D250" i="6" l="1"/>
  <c r="E249" i="6"/>
  <c r="D187" i="6"/>
  <c r="E186" i="6"/>
  <c r="D67" i="6"/>
  <c r="E66" i="6"/>
  <c r="E9" i="6"/>
  <c r="D10" i="6"/>
  <c r="D11" i="6" l="1"/>
  <c r="E10" i="6"/>
  <c r="D68" i="6"/>
  <c r="E67" i="6"/>
  <c r="D188" i="6"/>
  <c r="E187" i="6"/>
  <c r="D251" i="6"/>
  <c r="E250" i="6"/>
  <c r="D189" i="6" l="1"/>
  <c r="E188" i="6"/>
  <c r="D69" i="6"/>
  <c r="E68" i="6"/>
  <c r="D252" i="6"/>
  <c r="E251" i="6"/>
  <c r="D12" i="6"/>
  <c r="E11" i="6"/>
  <c r="D13" i="6" l="1"/>
  <c r="E12" i="6"/>
  <c r="D253" i="6"/>
  <c r="E252" i="6"/>
  <c r="D70" i="6"/>
  <c r="E69" i="6"/>
  <c r="D190" i="6"/>
  <c r="E189" i="6"/>
  <c r="D191" i="6" l="1"/>
  <c r="E190" i="6"/>
  <c r="D71" i="6"/>
  <c r="E70" i="6"/>
  <c r="D254" i="6"/>
  <c r="E253" i="6"/>
  <c r="D14" i="6"/>
  <c r="E13" i="6"/>
  <c r="E71" i="6" l="1"/>
  <c r="D72" i="6"/>
  <c r="D15" i="6"/>
  <c r="E14" i="6"/>
  <c r="D255" i="6"/>
  <c r="E254" i="6"/>
  <c r="D192" i="6"/>
  <c r="E191" i="6"/>
  <c r="D256" i="6" l="1"/>
  <c r="E255" i="6"/>
  <c r="D193" i="6"/>
  <c r="E192" i="6"/>
  <c r="D16" i="6"/>
  <c r="E15" i="6"/>
  <c r="E72" i="6"/>
  <c r="D73" i="6"/>
  <c r="D17" i="6" l="1"/>
  <c r="E16" i="6"/>
  <c r="D74" i="6"/>
  <c r="E73" i="6"/>
  <c r="D194" i="6"/>
  <c r="E193" i="6"/>
  <c r="D257" i="6"/>
  <c r="E256" i="6"/>
  <c r="D75" i="6" l="1"/>
  <c r="E74" i="6"/>
  <c r="D258" i="6"/>
  <c r="E257" i="6"/>
  <c r="D195" i="6"/>
  <c r="E194" i="6"/>
  <c r="D18" i="6"/>
  <c r="E17" i="6"/>
  <c r="D19" i="6" l="1"/>
  <c r="E18" i="6"/>
  <c r="D196" i="6"/>
  <c r="E195" i="6"/>
  <c r="D259" i="6"/>
  <c r="E258" i="6"/>
  <c r="D76" i="6"/>
  <c r="E75" i="6"/>
  <c r="D197" i="6" l="1"/>
  <c r="E196" i="6"/>
  <c r="D77" i="6"/>
  <c r="E76" i="6"/>
  <c r="D260" i="6"/>
  <c r="E259" i="6"/>
  <c r="D20" i="6"/>
  <c r="E19" i="6"/>
  <c r="D261" i="6" l="1"/>
  <c r="E260" i="6"/>
  <c r="D78" i="6"/>
  <c r="E77" i="6"/>
  <c r="D21" i="6"/>
  <c r="E20" i="6"/>
  <c r="D198" i="6"/>
  <c r="E197" i="6"/>
  <c r="D79" i="6" l="1"/>
  <c r="E78" i="6"/>
  <c r="D199" i="6"/>
  <c r="E198" i="6"/>
  <c r="D22" i="6"/>
  <c r="E21" i="6"/>
  <c r="D262" i="6"/>
  <c r="E261" i="6"/>
  <c r="D263" i="6" l="1"/>
  <c r="E262" i="6"/>
  <c r="D23" i="6"/>
  <c r="E22" i="6"/>
  <c r="D200" i="6"/>
  <c r="E199" i="6"/>
  <c r="D80" i="6"/>
  <c r="E79" i="6"/>
  <c r="D81" i="6" l="1"/>
  <c r="E80" i="6"/>
  <c r="D201" i="6"/>
  <c r="E200" i="6"/>
  <c r="D24" i="6"/>
  <c r="E23" i="6"/>
  <c r="D264" i="6"/>
  <c r="E263" i="6"/>
  <c r="D82" i="6" l="1"/>
  <c r="E81" i="6"/>
  <c r="D265" i="6"/>
  <c r="E264" i="6"/>
  <c r="D25" i="6"/>
  <c r="E24" i="6"/>
  <c r="D202" i="6"/>
  <c r="E201" i="6"/>
  <c r="D203" i="6" l="1"/>
  <c r="E202" i="6"/>
  <c r="D266" i="6"/>
  <c r="E265" i="6"/>
  <c r="D26" i="6"/>
  <c r="E25" i="6"/>
  <c r="D83" i="6"/>
  <c r="E82" i="6"/>
  <c r="D267" i="6" l="1"/>
  <c r="E266" i="6"/>
  <c r="D84" i="6"/>
  <c r="E83" i="6"/>
  <c r="D27" i="6"/>
  <c r="E26" i="6"/>
  <c r="D204" i="6"/>
  <c r="E203" i="6"/>
  <c r="D85" i="6" l="1"/>
  <c r="E84" i="6"/>
  <c r="D268" i="6"/>
  <c r="E267" i="6"/>
  <c r="D205" i="6"/>
  <c r="E204" i="6"/>
  <c r="D28" i="6"/>
  <c r="E27" i="6"/>
  <c r="D29" i="6" l="1"/>
  <c r="E28" i="6"/>
  <c r="D206" i="6"/>
  <c r="E205" i="6"/>
  <c r="D269" i="6"/>
  <c r="E268" i="6"/>
  <c r="D86" i="6"/>
  <c r="E85" i="6"/>
  <c r="D87" i="6" l="1"/>
  <c r="E86" i="6"/>
  <c r="D270" i="6"/>
  <c r="E269" i="6"/>
  <c r="D207" i="6"/>
  <c r="E206" i="6"/>
  <c r="D30" i="6"/>
  <c r="E29" i="6"/>
  <c r="D31" i="6" l="1"/>
  <c r="E30" i="6"/>
  <c r="D208" i="6"/>
  <c r="E207" i="6"/>
  <c r="D271" i="6"/>
  <c r="E270" i="6"/>
  <c r="D88" i="6"/>
  <c r="E87" i="6"/>
  <c r="D32" i="6" l="1"/>
  <c r="E31" i="6"/>
  <c r="D89" i="6"/>
  <c r="E88" i="6"/>
  <c r="D272" i="6"/>
  <c r="E271" i="6"/>
  <c r="D209" i="6"/>
  <c r="E208" i="6"/>
  <c r="D33" i="6" l="1"/>
  <c r="E32" i="6"/>
  <c r="D210" i="6"/>
  <c r="E209" i="6"/>
  <c r="D273" i="6"/>
  <c r="E272" i="6"/>
  <c r="D90" i="6"/>
  <c r="E89" i="6"/>
  <c r="D34" i="6" l="1"/>
  <c r="E33" i="6"/>
  <c r="D91" i="6"/>
  <c r="E90" i="6"/>
  <c r="D274" i="6"/>
  <c r="E273" i="6"/>
  <c r="D211" i="6"/>
  <c r="E210" i="6"/>
  <c r="D212" i="6" l="1"/>
  <c r="E211" i="6"/>
  <c r="D275" i="6"/>
  <c r="E274" i="6"/>
  <c r="D92" i="6"/>
  <c r="E91" i="6"/>
  <c r="D35" i="6"/>
  <c r="E34" i="6"/>
  <c r="D36" i="6" l="1"/>
  <c r="E35" i="6"/>
  <c r="D93" i="6"/>
  <c r="E92" i="6"/>
  <c r="D276" i="6"/>
  <c r="E275" i="6"/>
  <c r="D213" i="6"/>
  <c r="E212" i="6"/>
  <c r="D37" i="6" l="1"/>
  <c r="E36" i="6"/>
  <c r="D214" i="6"/>
  <c r="E213" i="6"/>
  <c r="D277" i="6"/>
  <c r="E276" i="6"/>
  <c r="D94" i="6"/>
  <c r="E93" i="6"/>
  <c r="D95" i="6" l="1"/>
  <c r="E94" i="6"/>
  <c r="D278" i="6"/>
  <c r="E277" i="6"/>
  <c r="D215" i="6"/>
  <c r="E214" i="6"/>
  <c r="D38" i="6"/>
  <c r="E37" i="6"/>
  <c r="D96" i="6" l="1"/>
  <c r="E95" i="6"/>
  <c r="D39" i="6"/>
  <c r="E38" i="6"/>
  <c r="D216" i="6"/>
  <c r="E215" i="6"/>
  <c r="D279" i="6"/>
  <c r="E278" i="6"/>
  <c r="D280" i="6" l="1"/>
  <c r="E279" i="6"/>
  <c r="D217" i="6"/>
  <c r="E216" i="6"/>
  <c r="D40" i="6"/>
  <c r="E39" i="6"/>
  <c r="D97" i="6"/>
  <c r="E96" i="6"/>
  <c r="D98" i="6" l="1"/>
  <c r="E97" i="6"/>
  <c r="D41" i="6"/>
  <c r="E40" i="6"/>
  <c r="D218" i="6"/>
  <c r="E217" i="6"/>
  <c r="D281" i="6"/>
  <c r="E280" i="6"/>
  <c r="D99" i="6" l="1"/>
  <c r="E98" i="6"/>
  <c r="D282" i="6"/>
  <c r="E281" i="6"/>
  <c r="D219" i="6"/>
  <c r="E218" i="6"/>
  <c r="D42" i="6"/>
  <c r="E41" i="6"/>
  <c r="D43" i="6" l="1"/>
  <c r="E42" i="6"/>
  <c r="D220" i="6"/>
  <c r="E219" i="6"/>
  <c r="D283" i="6"/>
  <c r="E282" i="6"/>
  <c r="D100" i="6"/>
  <c r="E99" i="6"/>
  <c r="D44" i="6" l="1"/>
  <c r="E43" i="6"/>
  <c r="D101" i="6"/>
  <c r="E100" i="6"/>
  <c r="D284" i="6"/>
  <c r="E283" i="6"/>
  <c r="D221" i="6"/>
  <c r="E220" i="6"/>
  <c r="D45" i="6" l="1"/>
  <c r="E44" i="6"/>
  <c r="D222" i="6"/>
  <c r="E221" i="6"/>
  <c r="D285" i="6"/>
  <c r="E284" i="6"/>
  <c r="D102" i="6"/>
  <c r="E101" i="6"/>
  <c r="D46" i="6" l="1"/>
  <c r="E45" i="6"/>
  <c r="D103" i="6"/>
  <c r="E102" i="6"/>
  <c r="D286" i="6"/>
  <c r="E285" i="6"/>
  <c r="D223" i="6"/>
  <c r="E222" i="6"/>
  <c r="D47" i="6" l="1"/>
  <c r="E46" i="6"/>
  <c r="D224" i="6"/>
  <c r="E223" i="6"/>
  <c r="D287" i="6"/>
  <c r="E286" i="6"/>
  <c r="D104" i="6"/>
  <c r="E103" i="6"/>
  <c r="D288" i="6" l="1"/>
  <c r="E287" i="6"/>
  <c r="D225" i="6"/>
  <c r="E224" i="6"/>
  <c r="D48" i="6"/>
  <c r="E47" i="6"/>
  <c r="D105" i="6"/>
  <c r="E104" i="6"/>
  <c r="D289" i="6" l="1"/>
  <c r="E288" i="6"/>
  <c r="D106" i="6"/>
  <c r="E105" i="6"/>
  <c r="D49" i="6"/>
  <c r="E48" i="6"/>
  <c r="D226" i="6"/>
  <c r="E225" i="6"/>
  <c r="D227" i="6" l="1"/>
  <c r="E226" i="6"/>
  <c r="D50" i="6"/>
  <c r="E49" i="6"/>
  <c r="D107" i="6"/>
  <c r="E106" i="6"/>
  <c r="D290" i="6"/>
  <c r="E289" i="6"/>
  <c r="D291" i="6" l="1"/>
  <c r="E290" i="6"/>
  <c r="D108" i="6"/>
  <c r="E107" i="6"/>
  <c r="D51" i="6"/>
  <c r="E50" i="6"/>
  <c r="D228" i="6"/>
  <c r="E227" i="6"/>
  <c r="D292" i="6" l="1"/>
  <c r="E291" i="6"/>
  <c r="D229" i="6"/>
  <c r="E228" i="6"/>
  <c r="D52" i="6"/>
  <c r="E51" i="6"/>
  <c r="D109" i="6"/>
  <c r="E108" i="6"/>
  <c r="D293" i="6" l="1"/>
  <c r="E292" i="6"/>
  <c r="D110" i="6"/>
  <c r="E109" i="6"/>
  <c r="D53" i="6"/>
  <c r="E52" i="6"/>
  <c r="D230" i="6"/>
  <c r="E229" i="6"/>
  <c r="D294" i="6" l="1"/>
  <c r="E293" i="6"/>
  <c r="D231" i="6"/>
  <c r="E230" i="6"/>
  <c r="D54" i="6"/>
  <c r="E53" i="6"/>
  <c r="D111" i="6"/>
  <c r="E110" i="6"/>
  <c r="D112" i="6" l="1"/>
  <c r="E111" i="6"/>
  <c r="D55" i="6"/>
  <c r="E54" i="6"/>
  <c r="D232" i="6"/>
  <c r="E231" i="6"/>
  <c r="D295" i="6"/>
  <c r="E294" i="6"/>
  <c r="D296" i="6" l="1"/>
  <c r="E295" i="6"/>
  <c r="D233" i="6"/>
  <c r="E232" i="6"/>
  <c r="D56" i="6"/>
  <c r="E55" i="6"/>
  <c r="D113" i="6"/>
  <c r="E112" i="6"/>
  <c r="D114" i="6" l="1"/>
  <c r="E113" i="6"/>
  <c r="D57" i="6"/>
  <c r="E56" i="6"/>
  <c r="D234" i="6"/>
  <c r="E233" i="6"/>
  <c r="D297" i="6"/>
  <c r="E296" i="6"/>
  <c r="D298" i="6" l="1"/>
  <c r="E297" i="6"/>
  <c r="D58" i="6"/>
  <c r="E57" i="6"/>
  <c r="D235" i="6"/>
  <c r="E234" i="6"/>
  <c r="D115" i="6"/>
  <c r="E114" i="6"/>
  <c r="D116" i="6" l="1"/>
  <c r="E115" i="6"/>
  <c r="D236" i="6"/>
  <c r="E235" i="6"/>
  <c r="D59" i="6"/>
  <c r="E58" i="6"/>
  <c r="D299" i="6"/>
  <c r="E298" i="6"/>
  <c r="D300" i="6" l="1"/>
  <c r="E299" i="6"/>
  <c r="D60" i="6"/>
  <c r="E59" i="6"/>
  <c r="D237" i="6"/>
  <c r="E236" i="6"/>
  <c r="D117" i="6"/>
  <c r="E116" i="6"/>
  <c r="D238" i="6" l="1"/>
  <c r="E237" i="6"/>
  <c r="D61" i="6"/>
  <c r="E61" i="6" s="1"/>
  <c r="E60" i="6"/>
  <c r="D118" i="6"/>
  <c r="E117" i="6"/>
  <c r="D301" i="6"/>
  <c r="E301" i="6" s="1"/>
  <c r="E300" i="6"/>
  <c r="D239" i="6" l="1"/>
  <c r="E238" i="6"/>
  <c r="D119" i="6"/>
  <c r="E118" i="6"/>
  <c r="D240" i="6" l="1"/>
  <c r="E239" i="6"/>
  <c r="D120" i="6"/>
  <c r="E119" i="6"/>
  <c r="D241" i="6" l="1"/>
  <c r="E241" i="6" s="1"/>
  <c r="E240" i="6"/>
  <c r="D121" i="6"/>
  <c r="E121" i="6" s="1"/>
  <c r="E120" i="6"/>
</calcChain>
</file>

<file path=xl/sharedStrings.xml><?xml version="1.0" encoding="utf-8"?>
<sst xmlns="http://schemas.openxmlformats.org/spreadsheetml/2006/main" count="1267" uniqueCount="101">
  <si>
    <t>Date</t>
  </si>
  <si>
    <t>Company</t>
  </si>
  <si>
    <t>Open</t>
  </si>
  <si>
    <t>High</t>
  </si>
  <si>
    <t>Low</t>
  </si>
  <si>
    <t>Close</t>
  </si>
  <si>
    <t>Adj Close</t>
  </si>
  <si>
    <t>Volume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</si>
  <si>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</si>
  <si>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</si>
  <si>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</si>
  <si>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</si>
  <si>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</si>
  <si>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</si>
  <si>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</si>
  <si>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</si>
  <si>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</si>
  <si>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</si>
  <si>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</si>
  <si>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</si>
  <si>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</si>
  <si>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</si>
  <si>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</si>
  <si>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</si>
  <si>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</si>
  <si>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</si>
  <si>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</si>
  <si>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</si>
  <si>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</si>
  <si>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</si>
  <si>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</si>
  <si>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</si>
  <si>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</si>
  <si>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</si>
  <si>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</si>
  <si>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</si>
  <si>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</si>
  <si>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</si>
  <si>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</si>
  <si>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</si>
  <si>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</si>
  <si>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</si>
  <si>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</si>
  <si>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</si>
  <si>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</si>
  <si>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</si>
  <si>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</si>
  <si>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</si>
  <si>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</si>
  <si>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</si>
  <si>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</si>
  <si>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</si>
  <si>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</si>
  <si>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</si>
  <si>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</si>
  <si>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</si>
  <si>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</si>
  <si>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</si>
  <si>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</si>
  <si>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</si>
  <si>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</si>
  <si>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</si>
  <si>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</si>
  <si>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</si>
  <si>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</si>
  <si>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</si>
  <si>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</si>
  <si>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</si>
  <si>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TCS</t>
  </si>
  <si>
    <t>INFY</t>
  </si>
  <si>
    <t>WIPRO</t>
  </si>
  <si>
    <t>HDFC</t>
  </si>
  <si>
    <t>RELIANCE</t>
  </si>
  <si>
    <t>Daily return</t>
  </si>
  <si>
    <t>Volatility</t>
  </si>
  <si>
    <t>Moving avg 7 days</t>
  </si>
  <si>
    <t>Moving avg 14 dsys</t>
  </si>
  <si>
    <t>Moving avg 30 days</t>
  </si>
  <si>
    <t>month</t>
  </si>
  <si>
    <t>Grand Total</t>
  </si>
  <si>
    <t>HDFC Total</t>
  </si>
  <si>
    <t>INFY Total</t>
  </si>
  <si>
    <t>RELIANCE Total</t>
  </si>
  <si>
    <t>TCS Total</t>
  </si>
  <si>
    <t>WIPRO Total</t>
  </si>
  <si>
    <t>Sum of Daily return</t>
  </si>
  <si>
    <t>Total</t>
  </si>
  <si>
    <t>2025-03</t>
  </si>
  <si>
    <t>2025-04</t>
  </si>
  <si>
    <t>2025-05</t>
  </si>
  <si>
    <t>runnig max</t>
  </si>
  <si>
    <t>Dropdown</t>
  </si>
  <si>
    <t>Sum of Dropdown</t>
  </si>
  <si>
    <t>cumlative volume</t>
  </si>
  <si>
    <t>price change</t>
  </si>
  <si>
    <t>gain</t>
  </si>
  <si>
    <t>loss</t>
  </si>
  <si>
    <t>avg_gain</t>
  </si>
  <si>
    <t>avg_loss</t>
  </si>
  <si>
    <t>rs</t>
  </si>
  <si>
    <t>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</si>
</sst>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\-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3" xfId="0" applyNumberFormat="1" applyBorder="1"/>
    <xf numFmtId="0" fontId="0" fillId="0" borderId="2" xfId="0" applyBorder="1"/>
    <xf numFmtId="164" fontId="1" fillId="0" borderId="4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1" fillId="0" borderId="6" xfId="0" applyFont="1" applyFill="1" applyBorder="1" applyAlignment="1">
      <alignment horizontal="center" vertical="top"/>
    </xf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  <xf numFmtId="0" fontId="0" fillId="0" borderId="5" xfId="0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0" fillId="3" borderId="1" xfId="0" applyFont="1" applyFill="1" applyBorder="1"/>
    <xf numFmtId="0" fontId="0" fillId="4" borderId="1" xfId="0" applyFont="1" applyFill="1" applyBorder="1"/>
    <xf numFmtId="164" fontId="2" fillId="2" borderId="3" xfId="0" applyNumberFormat="1" applyFont="1" applyFill="1" applyBorder="1" applyAlignment="1">
      <alignment horizontal="center" vertical="top"/>
    </xf>
    <xf numFmtId="164" fontId="0" fillId="3" borderId="3" xfId="0" applyNumberFormat="1" applyFont="1" applyFill="1" applyBorder="1"/>
    <xf numFmtId="164" fontId="0" fillId="4" borderId="3" xfId="0" applyNumberFormat="1" applyFont="1" applyFill="1" applyBorder="1"/>
  </cellXfs>
  <cellStyles count="1">
    <cellStyle name="Normal" xfId="0" builtinId="0"/>
  </cellStyles>
  <dxfs count="25"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14009]d\-m\-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[$-14009]d\-m\-yy;@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Close vs Moving Average </a:t>
            </a:r>
          </a:p>
        </c:rich>
      </c:tx>
      <c:layout>
        <c:manualLayout>
          <c:xMode val="edge"/>
          <c:yMode val="edge"/>
          <c:x val="0.11826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Sheet1!$A$2:$A$301</c:f>
              <c:strCache>
                <c:ptCount val="300"/>
                <c:pt idx="0">
                  <c:v>2025-05-29</c:v>
                </c:pt>
                <c:pt idx="1">
                  <c:v>2025-05-28</c:v>
                </c:pt>
                <c:pt idx="2">
                  <c:v>2025-05-27</c:v>
                </c:pt>
                <c:pt idx="3">
                  <c:v>2025-05-26</c:v>
                </c:pt>
                <c:pt idx="4">
                  <c:v>2025-05-23</c:v>
                </c:pt>
                <c:pt idx="5">
                  <c:v>2025-05-22</c:v>
                </c:pt>
                <c:pt idx="6">
                  <c:v>2025-05-21</c:v>
                </c:pt>
                <c:pt idx="7">
                  <c:v>2025-05-20</c:v>
                </c:pt>
                <c:pt idx="8">
                  <c:v>2025-05-19</c:v>
                </c:pt>
                <c:pt idx="9">
                  <c:v>2025-05-16</c:v>
                </c:pt>
                <c:pt idx="10">
                  <c:v>2025-05-15</c:v>
                </c:pt>
                <c:pt idx="11">
                  <c:v>2025-05-14</c:v>
                </c:pt>
                <c:pt idx="12">
                  <c:v>2025-05-13</c:v>
                </c:pt>
                <c:pt idx="13">
                  <c:v>2025-05-12</c:v>
                </c:pt>
                <c:pt idx="14">
                  <c:v>2025-05-09</c:v>
                </c:pt>
                <c:pt idx="15">
                  <c:v>2025-05-08</c:v>
                </c:pt>
                <c:pt idx="16">
                  <c:v>2025-05-07</c:v>
                </c:pt>
                <c:pt idx="17">
                  <c:v>2025-05-06</c:v>
                </c:pt>
                <c:pt idx="18">
                  <c:v>2025-05-05</c:v>
                </c:pt>
                <c:pt idx="19">
                  <c:v>2025-05-02</c:v>
                </c:pt>
                <c:pt idx="20">
                  <c:v>2025-05-01</c:v>
                </c:pt>
                <c:pt idx="21">
                  <c:v>2025-04-30</c:v>
                </c:pt>
                <c:pt idx="22">
                  <c:v>2025-04-29</c:v>
                </c:pt>
                <c:pt idx="23">
                  <c:v>2025-04-28</c:v>
                </c:pt>
                <c:pt idx="24">
                  <c:v>2025-04-25</c:v>
                </c:pt>
                <c:pt idx="25">
                  <c:v>2025-04-24</c:v>
                </c:pt>
                <c:pt idx="26">
                  <c:v>2025-04-23</c:v>
                </c:pt>
                <c:pt idx="27">
                  <c:v>2025-04-22</c:v>
                </c:pt>
                <c:pt idx="28">
                  <c:v>2025-04-21</c:v>
                </c:pt>
                <c:pt idx="29">
                  <c:v>2025-04-18</c:v>
                </c:pt>
                <c:pt idx="30">
                  <c:v>2025-04-17</c:v>
                </c:pt>
                <c:pt idx="31">
                  <c:v>2025-04-16</c:v>
                </c:pt>
                <c:pt idx="32">
                  <c:v>2025-04-15</c:v>
                </c:pt>
                <c:pt idx="33">
                  <c:v>2025-04-14</c:v>
                </c:pt>
                <c:pt idx="34">
                  <c:v>2025-04-11</c:v>
                </c:pt>
                <c:pt idx="35">
                  <c:v>2025-04-10</c:v>
                </c:pt>
                <c:pt idx="36">
                  <c:v>2025-04-09</c:v>
                </c:pt>
                <c:pt idx="37">
                  <c:v>2025-04-08</c:v>
                </c:pt>
                <c:pt idx="38">
                  <c:v>2025-04-07</c:v>
                </c:pt>
                <c:pt idx="39">
                  <c:v>2025-04-04</c:v>
                </c:pt>
                <c:pt idx="40">
                  <c:v>2025-04-03</c:v>
                </c:pt>
                <c:pt idx="41">
                  <c:v>2025-04-02</c:v>
                </c:pt>
                <c:pt idx="42">
                  <c:v>2025-04-01</c:v>
                </c:pt>
                <c:pt idx="43">
                  <c:v>2025-03-31</c:v>
                </c:pt>
                <c:pt idx="44">
                  <c:v>2025-03-28</c:v>
                </c:pt>
                <c:pt idx="45">
                  <c:v>2025-03-27</c:v>
                </c:pt>
                <c:pt idx="46">
                  <c:v>2025-03-26</c:v>
                </c:pt>
                <c:pt idx="47">
                  <c:v>2025-03-25</c:v>
                </c:pt>
                <c:pt idx="48">
                  <c:v>2025-03-24</c:v>
                </c:pt>
                <c:pt idx="49">
                  <c:v>2025-03-21</c:v>
                </c:pt>
                <c:pt idx="50">
                  <c:v>2025-03-20</c:v>
                </c:pt>
                <c:pt idx="51">
                  <c:v>2025-03-19</c:v>
                </c:pt>
                <c:pt idx="52">
                  <c:v>2025-03-18</c:v>
                </c:pt>
                <c:pt idx="53">
                  <c:v>2025-03-17</c:v>
                </c:pt>
                <c:pt idx="54">
                  <c:v>2025-03-14</c:v>
                </c:pt>
                <c:pt idx="55">
                  <c:v>2025-03-13</c:v>
                </c:pt>
                <c:pt idx="56">
                  <c:v>2025-03-12</c:v>
                </c:pt>
                <c:pt idx="57">
                  <c:v>2025-03-11</c:v>
                </c:pt>
                <c:pt idx="58">
                  <c:v>2025-03-10</c:v>
                </c:pt>
                <c:pt idx="59">
                  <c:v>2025-03-07</c:v>
                </c:pt>
                <c:pt idx="60">
                  <c:v>2025-05-29</c:v>
                </c:pt>
                <c:pt idx="61">
                  <c:v>2025-05-28</c:v>
                </c:pt>
                <c:pt idx="62">
                  <c:v>2025-05-27</c:v>
                </c:pt>
                <c:pt idx="63">
                  <c:v>2025-05-26</c:v>
                </c:pt>
                <c:pt idx="64">
                  <c:v>2025-05-23</c:v>
                </c:pt>
                <c:pt idx="65">
                  <c:v>2025-05-22</c:v>
                </c:pt>
                <c:pt idx="66">
                  <c:v>2025-05-21</c:v>
                </c:pt>
                <c:pt idx="67">
                  <c:v>2025-05-20</c:v>
                </c:pt>
                <c:pt idx="68">
                  <c:v>2025-05-19</c:v>
                </c:pt>
                <c:pt idx="69">
                  <c:v>2025-05-16</c:v>
                </c:pt>
                <c:pt idx="70">
                  <c:v>2025-05-15</c:v>
                </c:pt>
                <c:pt idx="71">
                  <c:v>2025-05-14</c:v>
                </c:pt>
                <c:pt idx="72">
                  <c:v>2025-05-13</c:v>
                </c:pt>
                <c:pt idx="73">
                  <c:v>2025-05-12</c:v>
                </c:pt>
                <c:pt idx="74">
                  <c:v>2025-05-09</c:v>
                </c:pt>
                <c:pt idx="75">
                  <c:v>2025-05-08</c:v>
                </c:pt>
                <c:pt idx="76">
                  <c:v>2025-05-07</c:v>
                </c:pt>
                <c:pt idx="77">
                  <c:v>2025-05-06</c:v>
                </c:pt>
                <c:pt idx="78">
                  <c:v>2025-05-05</c:v>
                </c:pt>
                <c:pt idx="79">
                  <c:v>2025-05-02</c:v>
                </c:pt>
                <c:pt idx="80">
                  <c:v>2025-05-01</c:v>
                </c:pt>
                <c:pt idx="81">
                  <c:v>2025-04-30</c:v>
                </c:pt>
                <c:pt idx="82">
                  <c:v>2025-04-29</c:v>
                </c:pt>
                <c:pt idx="83">
                  <c:v>2025-04-28</c:v>
                </c:pt>
                <c:pt idx="84">
                  <c:v>2025-04-25</c:v>
                </c:pt>
                <c:pt idx="85">
                  <c:v>2025-04-24</c:v>
                </c:pt>
                <c:pt idx="86">
                  <c:v>2025-04-23</c:v>
                </c:pt>
                <c:pt idx="87">
                  <c:v>2025-04-22</c:v>
                </c:pt>
                <c:pt idx="88">
                  <c:v>2025-04-21</c:v>
                </c:pt>
                <c:pt idx="89">
                  <c:v>2025-04-18</c:v>
                </c:pt>
                <c:pt idx="90">
                  <c:v>2025-04-17</c:v>
                </c:pt>
                <c:pt idx="91">
                  <c:v>2025-04-16</c:v>
                </c:pt>
                <c:pt idx="92">
                  <c:v>2025-04-15</c:v>
                </c:pt>
                <c:pt idx="93">
                  <c:v>2025-04-14</c:v>
                </c:pt>
                <c:pt idx="94">
                  <c:v>2025-04-11</c:v>
                </c:pt>
                <c:pt idx="95">
                  <c:v>2025-04-10</c:v>
                </c:pt>
                <c:pt idx="96">
                  <c:v>2025-04-09</c:v>
                </c:pt>
                <c:pt idx="97">
                  <c:v>2025-04-08</c:v>
                </c:pt>
                <c:pt idx="98">
                  <c:v>2025-04-07</c:v>
                </c:pt>
                <c:pt idx="99">
                  <c:v>2025-04-04</c:v>
                </c:pt>
                <c:pt idx="100">
                  <c:v>2025-04-03</c:v>
                </c:pt>
                <c:pt idx="101">
                  <c:v>2025-04-02</c:v>
                </c:pt>
                <c:pt idx="102">
                  <c:v>2025-04-01</c:v>
                </c:pt>
                <c:pt idx="103">
                  <c:v>2025-03-31</c:v>
                </c:pt>
                <c:pt idx="104">
                  <c:v>2025-03-28</c:v>
                </c:pt>
                <c:pt idx="105">
                  <c:v>2025-03-27</c:v>
                </c:pt>
                <c:pt idx="106">
                  <c:v>2025-03-26</c:v>
                </c:pt>
                <c:pt idx="107">
                  <c:v>2025-03-25</c:v>
                </c:pt>
                <c:pt idx="108">
                  <c:v>2025-03-24</c:v>
                </c:pt>
                <c:pt idx="109">
                  <c:v>2025-03-21</c:v>
                </c:pt>
                <c:pt idx="110">
                  <c:v>2025-03-20</c:v>
                </c:pt>
                <c:pt idx="111">
                  <c:v>2025-03-19</c:v>
                </c:pt>
                <c:pt idx="112">
                  <c:v>2025-03-18</c:v>
                </c:pt>
                <c:pt idx="113">
                  <c:v>2025-03-17</c:v>
                </c:pt>
                <c:pt idx="114">
                  <c:v>2025-03-14</c:v>
                </c:pt>
                <c:pt idx="115">
                  <c:v>2025-03-13</c:v>
                </c:pt>
                <c:pt idx="116">
                  <c:v>2025-03-12</c:v>
                </c:pt>
                <c:pt idx="117">
                  <c:v>2025-03-11</c:v>
                </c:pt>
                <c:pt idx="118">
                  <c:v>2025-03-10</c:v>
                </c:pt>
                <c:pt idx="119">
                  <c:v>2025-03-07</c:v>
                </c:pt>
                <c:pt idx="120">
                  <c:v>2025-05-29</c:v>
                </c:pt>
                <c:pt idx="121">
                  <c:v>2025-05-28</c:v>
                </c:pt>
                <c:pt idx="122">
                  <c:v>2025-05-27</c:v>
                </c:pt>
                <c:pt idx="123">
                  <c:v>2025-05-26</c:v>
                </c:pt>
                <c:pt idx="124">
                  <c:v>2025-05-23</c:v>
                </c:pt>
                <c:pt idx="125">
                  <c:v>2025-05-22</c:v>
                </c:pt>
                <c:pt idx="126">
                  <c:v>2025-05-21</c:v>
                </c:pt>
                <c:pt idx="127">
                  <c:v>2025-05-20</c:v>
                </c:pt>
                <c:pt idx="128">
                  <c:v>2025-05-19</c:v>
                </c:pt>
                <c:pt idx="129">
                  <c:v>2025-05-16</c:v>
                </c:pt>
                <c:pt idx="130">
                  <c:v>2025-05-15</c:v>
                </c:pt>
                <c:pt idx="131">
                  <c:v>2025-05-14</c:v>
                </c:pt>
                <c:pt idx="132">
                  <c:v>2025-05-13</c:v>
                </c:pt>
                <c:pt idx="133">
                  <c:v>2025-05-12</c:v>
                </c:pt>
                <c:pt idx="134">
                  <c:v>2025-05-09</c:v>
                </c:pt>
                <c:pt idx="135">
                  <c:v>2025-05-08</c:v>
                </c:pt>
                <c:pt idx="136">
                  <c:v>2025-05-07</c:v>
                </c:pt>
                <c:pt idx="137">
                  <c:v>2025-05-06</c:v>
                </c:pt>
                <c:pt idx="138">
                  <c:v>2025-05-05</c:v>
                </c:pt>
                <c:pt idx="139">
                  <c:v>2025-05-02</c:v>
                </c:pt>
                <c:pt idx="140">
                  <c:v>2025-05-01</c:v>
                </c:pt>
                <c:pt idx="141">
                  <c:v>2025-04-30</c:v>
                </c:pt>
                <c:pt idx="142">
                  <c:v>2025-04-29</c:v>
                </c:pt>
                <c:pt idx="143">
                  <c:v>2025-04-28</c:v>
                </c:pt>
                <c:pt idx="144">
                  <c:v>2025-04-25</c:v>
                </c:pt>
                <c:pt idx="145">
                  <c:v>2025-04-24</c:v>
                </c:pt>
                <c:pt idx="146">
                  <c:v>2025-04-23</c:v>
                </c:pt>
                <c:pt idx="147">
                  <c:v>2025-04-22</c:v>
                </c:pt>
                <c:pt idx="148">
                  <c:v>2025-04-21</c:v>
                </c:pt>
                <c:pt idx="149">
                  <c:v>2025-04-18</c:v>
                </c:pt>
                <c:pt idx="150">
                  <c:v>2025-04-17</c:v>
                </c:pt>
                <c:pt idx="151">
                  <c:v>2025-04-16</c:v>
                </c:pt>
                <c:pt idx="152">
                  <c:v>2025-04-15</c:v>
                </c:pt>
                <c:pt idx="153">
                  <c:v>2025-04-14</c:v>
                </c:pt>
                <c:pt idx="154">
                  <c:v>2025-04-11</c:v>
                </c:pt>
                <c:pt idx="155">
                  <c:v>2025-04-10</c:v>
                </c:pt>
                <c:pt idx="156">
                  <c:v>2025-04-09</c:v>
                </c:pt>
                <c:pt idx="157">
                  <c:v>2025-04-08</c:v>
                </c:pt>
                <c:pt idx="158">
                  <c:v>2025-04-07</c:v>
                </c:pt>
                <c:pt idx="159">
                  <c:v>2025-04-04</c:v>
                </c:pt>
                <c:pt idx="160">
                  <c:v>2025-04-03</c:v>
                </c:pt>
                <c:pt idx="161">
                  <c:v>2025-04-02</c:v>
                </c:pt>
                <c:pt idx="162">
                  <c:v>2025-04-01</c:v>
                </c:pt>
                <c:pt idx="163">
                  <c:v>2025-03-31</c:v>
                </c:pt>
                <c:pt idx="164">
                  <c:v>2025-03-28</c:v>
                </c:pt>
                <c:pt idx="165">
                  <c:v>2025-03-27</c:v>
                </c:pt>
                <c:pt idx="166">
                  <c:v>2025-03-26</c:v>
                </c:pt>
                <c:pt idx="167">
                  <c:v>2025-03-25</c:v>
                </c:pt>
                <c:pt idx="168">
                  <c:v>2025-03-24</c:v>
                </c:pt>
                <c:pt idx="169">
                  <c:v>2025-03-21</c:v>
                </c:pt>
                <c:pt idx="170">
                  <c:v>2025-03-20</c:v>
                </c:pt>
                <c:pt idx="171">
                  <c:v>2025-03-19</c:v>
                </c:pt>
                <c:pt idx="172">
                  <c:v>2025-03-18</c:v>
                </c:pt>
                <c:pt idx="173">
                  <c:v>2025-03-17</c:v>
                </c:pt>
                <c:pt idx="174">
                  <c:v>2025-03-14</c:v>
                </c:pt>
                <c:pt idx="175">
                  <c:v>2025-03-13</c:v>
                </c:pt>
                <c:pt idx="176">
                  <c:v>2025-03-12</c:v>
                </c:pt>
                <c:pt idx="177">
                  <c:v>2025-03-11</c:v>
                </c:pt>
                <c:pt idx="178">
                  <c:v>2025-03-10</c:v>
                </c:pt>
                <c:pt idx="179">
                  <c:v>2025-03-07</c:v>
                </c:pt>
                <c:pt idx="180">
                  <c:v>2025-05-29</c:v>
                </c:pt>
                <c:pt idx="181">
                  <c:v>2025-05-28</c:v>
                </c:pt>
                <c:pt idx="182">
                  <c:v>2025-05-27</c:v>
                </c:pt>
                <c:pt idx="183">
                  <c:v>2025-05-26</c:v>
                </c:pt>
                <c:pt idx="184">
                  <c:v>2025-05-23</c:v>
                </c:pt>
                <c:pt idx="185">
                  <c:v>2025-05-22</c:v>
                </c:pt>
                <c:pt idx="186">
                  <c:v>2025-05-21</c:v>
                </c:pt>
                <c:pt idx="187">
                  <c:v>2025-05-20</c:v>
                </c:pt>
                <c:pt idx="188">
                  <c:v>2025-05-19</c:v>
                </c:pt>
                <c:pt idx="189">
                  <c:v>2025-05-16</c:v>
                </c:pt>
                <c:pt idx="190">
                  <c:v>2025-05-15</c:v>
                </c:pt>
                <c:pt idx="191">
                  <c:v>2025-05-14</c:v>
                </c:pt>
                <c:pt idx="192">
                  <c:v>2025-05-13</c:v>
                </c:pt>
                <c:pt idx="193">
                  <c:v>2025-05-12</c:v>
                </c:pt>
                <c:pt idx="194">
                  <c:v>2025-05-09</c:v>
                </c:pt>
                <c:pt idx="195">
                  <c:v>2025-05-08</c:v>
                </c:pt>
                <c:pt idx="196">
                  <c:v>2025-05-07</c:v>
                </c:pt>
                <c:pt idx="197">
                  <c:v>2025-05-06</c:v>
                </c:pt>
                <c:pt idx="198">
                  <c:v>2025-05-05</c:v>
                </c:pt>
                <c:pt idx="199">
                  <c:v>2025-05-02</c:v>
                </c:pt>
                <c:pt idx="200">
                  <c:v>2025-05-01</c:v>
                </c:pt>
                <c:pt idx="201">
                  <c:v>2025-04-30</c:v>
                </c:pt>
                <c:pt idx="202">
                  <c:v>2025-04-29</c:v>
                </c:pt>
                <c:pt idx="203">
                  <c:v>2025-04-28</c:v>
                </c:pt>
                <c:pt idx="204">
                  <c:v>2025-04-25</c:v>
                </c:pt>
                <c:pt idx="205">
                  <c:v>2025-04-24</c:v>
                </c:pt>
                <c:pt idx="206">
                  <c:v>2025-04-23</c:v>
                </c:pt>
                <c:pt idx="207">
                  <c:v>2025-04-22</c:v>
                </c:pt>
                <c:pt idx="208">
                  <c:v>2025-04-21</c:v>
                </c:pt>
                <c:pt idx="209">
                  <c:v>2025-04-18</c:v>
                </c:pt>
                <c:pt idx="210">
                  <c:v>2025-04-17</c:v>
                </c:pt>
                <c:pt idx="211">
                  <c:v>2025-04-16</c:v>
                </c:pt>
                <c:pt idx="212">
                  <c:v>2025-04-15</c:v>
                </c:pt>
                <c:pt idx="213">
                  <c:v>2025-04-14</c:v>
                </c:pt>
                <c:pt idx="214">
                  <c:v>2025-04-11</c:v>
                </c:pt>
                <c:pt idx="215">
                  <c:v>2025-04-10</c:v>
                </c:pt>
                <c:pt idx="216">
                  <c:v>2025-04-09</c:v>
                </c:pt>
                <c:pt idx="217">
                  <c:v>2025-04-08</c:v>
                </c:pt>
                <c:pt idx="218">
                  <c:v>2025-04-07</c:v>
                </c:pt>
                <c:pt idx="219">
                  <c:v>2025-04-04</c:v>
                </c:pt>
                <c:pt idx="220">
                  <c:v>2025-04-03</c:v>
                </c:pt>
                <c:pt idx="221">
                  <c:v>2025-04-02</c:v>
                </c:pt>
                <c:pt idx="222">
                  <c:v>2025-04-01</c:v>
                </c:pt>
                <c:pt idx="223">
                  <c:v>2025-03-31</c:v>
                </c:pt>
                <c:pt idx="224">
                  <c:v>2025-03-28</c:v>
                </c:pt>
                <c:pt idx="225">
                  <c:v>2025-03-27</c:v>
                </c:pt>
                <c:pt idx="226">
                  <c:v>2025-03-26</c:v>
                </c:pt>
                <c:pt idx="227">
                  <c:v>2025-03-25</c:v>
                </c:pt>
                <c:pt idx="228">
                  <c:v>2025-03-24</c:v>
                </c:pt>
                <c:pt idx="229">
                  <c:v>2025-03-21</c:v>
                </c:pt>
                <c:pt idx="230">
                  <c:v>2025-03-20</c:v>
                </c:pt>
                <c:pt idx="231">
                  <c:v>2025-03-19</c:v>
                </c:pt>
                <c:pt idx="232">
                  <c:v>2025-03-18</c:v>
                </c:pt>
                <c:pt idx="233">
                  <c:v>2025-03-17</c:v>
                </c:pt>
                <c:pt idx="234">
                  <c:v>2025-03-14</c:v>
                </c:pt>
                <c:pt idx="235">
                  <c:v>2025-03-13</c:v>
                </c:pt>
                <c:pt idx="236">
                  <c:v>2025-03-12</c:v>
                </c:pt>
                <c:pt idx="237">
                  <c:v>2025-03-11</c:v>
                </c:pt>
                <c:pt idx="238">
                  <c:v>2025-03-10</c:v>
                </c:pt>
                <c:pt idx="239">
                  <c:v>2025-03-07</c:v>
                </c:pt>
                <c:pt idx="240">
                  <c:v>2025-05-29</c:v>
                </c:pt>
                <c:pt idx="241">
                  <c:v>2025-05-28</c:v>
                </c:pt>
                <c:pt idx="242">
                  <c:v>2025-05-27</c:v>
                </c:pt>
                <c:pt idx="243">
                  <c:v>2025-05-26</c:v>
                </c:pt>
                <c:pt idx="244">
                  <c:v>2025-05-23</c:v>
                </c:pt>
                <c:pt idx="245">
                  <c:v>2025-05-22</c:v>
                </c:pt>
                <c:pt idx="246">
                  <c:v>2025-05-21</c:v>
                </c:pt>
                <c:pt idx="247">
                  <c:v>2025-05-20</c:v>
                </c:pt>
                <c:pt idx="248">
                  <c:v>2025-05-19</c:v>
                </c:pt>
                <c:pt idx="249">
                  <c:v>2025-05-16</c:v>
                </c:pt>
                <c:pt idx="250">
                  <c:v>2025-05-15</c:v>
                </c:pt>
                <c:pt idx="251">
                  <c:v>2025-05-14</c:v>
                </c:pt>
                <c:pt idx="252">
                  <c:v>2025-05-13</c:v>
                </c:pt>
                <c:pt idx="253">
                  <c:v>2025-05-12</c:v>
                </c:pt>
                <c:pt idx="254">
                  <c:v>2025-05-09</c:v>
                </c:pt>
                <c:pt idx="255">
                  <c:v>2025-05-08</c:v>
                </c:pt>
                <c:pt idx="256">
                  <c:v>2025-05-07</c:v>
                </c:pt>
                <c:pt idx="257">
                  <c:v>2025-05-06</c:v>
                </c:pt>
                <c:pt idx="258">
                  <c:v>2025-05-05</c:v>
                </c:pt>
                <c:pt idx="259">
                  <c:v>2025-05-02</c:v>
                </c:pt>
                <c:pt idx="260">
                  <c:v>2025-05-01</c:v>
                </c:pt>
                <c:pt idx="261">
                  <c:v>2025-04-30</c:v>
                </c:pt>
                <c:pt idx="262">
                  <c:v>2025-04-29</c:v>
                </c:pt>
                <c:pt idx="263">
                  <c:v>2025-04-28</c:v>
                </c:pt>
                <c:pt idx="264">
                  <c:v>2025-04-25</c:v>
                </c:pt>
                <c:pt idx="265">
                  <c:v>2025-04-24</c:v>
                </c:pt>
                <c:pt idx="266">
                  <c:v>2025-04-23</c:v>
                </c:pt>
                <c:pt idx="267">
                  <c:v>2025-04-22</c:v>
                </c:pt>
                <c:pt idx="268">
                  <c:v>2025-04-21</c:v>
                </c:pt>
                <c:pt idx="269">
                  <c:v>2025-04-18</c:v>
                </c:pt>
                <c:pt idx="270">
                  <c:v>2025-04-17</c:v>
                </c:pt>
                <c:pt idx="271">
                  <c:v>2025-04-16</c:v>
                </c:pt>
                <c:pt idx="272">
                  <c:v>2025-04-15</c:v>
                </c:pt>
                <c:pt idx="273">
                  <c:v>2025-04-14</c:v>
                </c:pt>
                <c:pt idx="274">
                  <c:v>2025-04-11</c:v>
                </c:pt>
                <c:pt idx="275">
                  <c:v>2025-04-10</c:v>
                </c:pt>
                <c:pt idx="276">
                  <c:v>2025-04-09</c:v>
                </c:pt>
                <c:pt idx="277">
                  <c:v>2025-04-08</c:v>
                </c:pt>
                <c:pt idx="278">
                  <c:v>2025-04-07</c:v>
                </c:pt>
                <c:pt idx="279">
                  <c:v>2025-04-04</c:v>
                </c:pt>
                <c:pt idx="280">
                  <c:v>2025-04-03</c:v>
                </c:pt>
                <c:pt idx="281">
                  <c:v>2025-04-02</c:v>
                </c:pt>
                <c:pt idx="282">
                  <c:v>2025-04-01</c:v>
                </c:pt>
                <c:pt idx="283">
                  <c:v>2025-03-31</c:v>
                </c:pt>
                <c:pt idx="284">
                  <c:v>2025-03-28</c:v>
                </c:pt>
                <c:pt idx="285">
                  <c:v>2025-03-27</c:v>
                </c:pt>
                <c:pt idx="286">
                  <c:v>2025-03-26</c:v>
                </c:pt>
                <c:pt idx="287">
                  <c:v>2025-03-25</c:v>
                </c:pt>
                <c:pt idx="288">
                  <c:v>2025-03-24</c:v>
                </c:pt>
                <c:pt idx="289">
                  <c:v>2025-03-21</c:v>
                </c:pt>
                <c:pt idx="290">
                  <c:v>2025-03-20</c:v>
                </c:pt>
                <c:pt idx="291">
                  <c:v>2025-03-19</c:v>
                </c:pt>
                <c:pt idx="292">
                  <c:v>2025-03-18</c:v>
                </c:pt>
                <c:pt idx="293">
                  <c:v>2025-03-17</c:v>
                </c:pt>
                <c:pt idx="294">
                  <c:v>2025-03-14</c:v>
                </c:pt>
                <c:pt idx="295">
                  <c:v>2025-03-13</c:v>
                </c:pt>
                <c:pt idx="296">
                  <c:v>2025-03-12</c:v>
                </c:pt>
                <c:pt idx="297">
                  <c:v>2025-03-11</c:v>
                </c:pt>
                <c:pt idx="298">
                  <c:v>2025-03-10</c:v>
                </c:pt>
                <c:pt idx="299">
                  <c:v>2025-03-07</c:v>
                </c:pt>
              </c:strCache>
            </c:strRef>
          </c:cat>
          <c:val>
            <c:numRef>
              <c:f>Sheet1!$F$2:$F$301</c:f>
              <c:numCache>
                <c:formatCode>General</c:formatCode>
                <c:ptCount val="300"/>
                <c:pt idx="0">
                  <c:v>693.24</c:v>
                </c:pt>
                <c:pt idx="1">
                  <c:v>680.38</c:v>
                </c:pt>
                <c:pt idx="2">
                  <c:v>694.41</c:v>
                </c:pt>
                <c:pt idx="3">
                  <c:v>686.72</c:v>
                </c:pt>
                <c:pt idx="4">
                  <c:v>678.92</c:v>
                </c:pt>
                <c:pt idx="5">
                  <c:v>695.72</c:v>
                </c:pt>
                <c:pt idx="6">
                  <c:v>688.17</c:v>
                </c:pt>
                <c:pt idx="7">
                  <c:v>679.16</c:v>
                </c:pt>
                <c:pt idx="8">
                  <c:v>671.86</c:v>
                </c:pt>
                <c:pt idx="9">
                  <c:v>670.66</c:v>
                </c:pt>
                <c:pt idx="10">
                  <c:v>676.81</c:v>
                </c:pt>
                <c:pt idx="11">
                  <c:v>676.53</c:v>
                </c:pt>
                <c:pt idx="12">
                  <c:v>685.8</c:v>
                </c:pt>
                <c:pt idx="13">
                  <c:v>668.68</c:v>
                </c:pt>
                <c:pt idx="14">
                  <c:v>673.56</c:v>
                </c:pt>
                <c:pt idx="15">
                  <c:v>683.06</c:v>
                </c:pt>
                <c:pt idx="16">
                  <c:v>700.68</c:v>
                </c:pt>
                <c:pt idx="17">
                  <c:v>696.82</c:v>
                </c:pt>
                <c:pt idx="18">
                  <c:v>684.59</c:v>
                </c:pt>
                <c:pt idx="19">
                  <c:v>680.63</c:v>
                </c:pt>
                <c:pt idx="20">
                  <c:v>691.07</c:v>
                </c:pt>
                <c:pt idx="21">
                  <c:v>687.36</c:v>
                </c:pt>
                <c:pt idx="22">
                  <c:v>695.69</c:v>
                </c:pt>
                <c:pt idx="23">
                  <c:v>652.79</c:v>
                </c:pt>
                <c:pt idx="24">
                  <c:v>672.17</c:v>
                </c:pt>
                <c:pt idx="25">
                  <c:v>684.8</c:v>
                </c:pt>
                <c:pt idx="26">
                  <c:v>674.04</c:v>
                </c:pt>
                <c:pt idx="27">
                  <c:v>676.46</c:v>
                </c:pt>
                <c:pt idx="28">
                  <c:v>694.1</c:v>
                </c:pt>
                <c:pt idx="29">
                  <c:v>682.67</c:v>
                </c:pt>
                <c:pt idx="30">
                  <c:v>680.89</c:v>
                </c:pt>
                <c:pt idx="31">
                  <c:v>687.58</c:v>
                </c:pt>
                <c:pt idx="32">
                  <c:v>679.5</c:v>
                </c:pt>
                <c:pt idx="33">
                  <c:v>694.65</c:v>
                </c:pt>
                <c:pt idx="34">
                  <c:v>691.69</c:v>
                </c:pt>
                <c:pt idx="35">
                  <c:v>688.08</c:v>
                </c:pt>
                <c:pt idx="36">
                  <c:v>694.3</c:v>
                </c:pt>
                <c:pt idx="37">
                  <c:v>681.61</c:v>
                </c:pt>
                <c:pt idx="38">
                  <c:v>655.75</c:v>
                </c:pt>
                <c:pt idx="39">
                  <c:v>688.32</c:v>
                </c:pt>
                <c:pt idx="40">
                  <c:v>680.01</c:v>
                </c:pt>
                <c:pt idx="41">
                  <c:v>678.3</c:v>
                </c:pt>
                <c:pt idx="42">
                  <c:v>673.87</c:v>
                </c:pt>
                <c:pt idx="43">
                  <c:v>677.21</c:v>
                </c:pt>
                <c:pt idx="44">
                  <c:v>704.89</c:v>
                </c:pt>
                <c:pt idx="45">
                  <c:v>679.38</c:v>
                </c:pt>
                <c:pt idx="46">
                  <c:v>676.72</c:v>
                </c:pt>
                <c:pt idx="47">
                  <c:v>681.61</c:v>
                </c:pt>
                <c:pt idx="48">
                  <c:v>675.91</c:v>
                </c:pt>
                <c:pt idx="49">
                  <c:v>683.44</c:v>
                </c:pt>
                <c:pt idx="50">
                  <c:v>691.23</c:v>
                </c:pt>
                <c:pt idx="51">
                  <c:v>690.2</c:v>
                </c:pt>
                <c:pt idx="52">
                  <c:v>679.76</c:v>
                </c:pt>
                <c:pt idx="53">
                  <c:v>689.21</c:v>
                </c:pt>
                <c:pt idx="54">
                  <c:v>671.79</c:v>
                </c:pt>
                <c:pt idx="55">
                  <c:v>679.61</c:v>
                </c:pt>
                <c:pt idx="56">
                  <c:v>686.61</c:v>
                </c:pt>
                <c:pt idx="57">
                  <c:v>685.43</c:v>
                </c:pt>
                <c:pt idx="58">
                  <c:v>667.77</c:v>
                </c:pt>
                <c:pt idx="59">
                  <c:v>692.82</c:v>
                </c:pt>
                <c:pt idx="60">
                  <c:v>1255.93</c:v>
                </c:pt>
                <c:pt idx="61">
                  <c:v>1238.8900000000001</c:v>
                </c:pt>
                <c:pt idx="62">
                  <c:v>1285.17</c:v>
                </c:pt>
                <c:pt idx="63">
                  <c:v>1277.46</c:v>
                </c:pt>
                <c:pt idx="64">
                  <c:v>1252.72</c:v>
                </c:pt>
                <c:pt idx="65">
                  <c:v>1250.1199999999999</c:v>
                </c:pt>
                <c:pt idx="66">
                  <c:v>1260.45</c:v>
                </c:pt>
                <c:pt idx="67">
                  <c:v>1241.6099999999999</c:v>
                </c:pt>
                <c:pt idx="68">
                  <c:v>1263.6300000000001</c:v>
                </c:pt>
                <c:pt idx="69">
                  <c:v>1247.71</c:v>
                </c:pt>
                <c:pt idx="70">
                  <c:v>1237.6600000000001</c:v>
                </c:pt>
                <c:pt idx="71">
                  <c:v>1245.4000000000001</c:v>
                </c:pt>
                <c:pt idx="72">
                  <c:v>1272.8</c:v>
                </c:pt>
                <c:pt idx="73">
                  <c:v>1251.74</c:v>
                </c:pt>
                <c:pt idx="74">
                  <c:v>1259.25</c:v>
                </c:pt>
                <c:pt idx="75">
                  <c:v>1232.79</c:v>
                </c:pt>
                <c:pt idx="76">
                  <c:v>1248.05</c:v>
                </c:pt>
                <c:pt idx="77">
                  <c:v>1255.45</c:v>
                </c:pt>
                <c:pt idx="78">
                  <c:v>1273.8499999999999</c:v>
                </c:pt>
                <c:pt idx="79">
                  <c:v>1286.94</c:v>
                </c:pt>
                <c:pt idx="80">
                  <c:v>1268.55</c:v>
                </c:pt>
                <c:pt idx="81">
                  <c:v>1257.45</c:v>
                </c:pt>
                <c:pt idx="82">
                  <c:v>1236.69</c:v>
                </c:pt>
                <c:pt idx="83">
                  <c:v>1252.96</c:v>
                </c:pt>
                <c:pt idx="84">
                  <c:v>1226.5999999999999</c:v>
                </c:pt>
                <c:pt idx="85">
                  <c:v>1244.5999999999999</c:v>
                </c:pt>
                <c:pt idx="86">
                  <c:v>1250.52</c:v>
                </c:pt>
                <c:pt idx="87">
                  <c:v>1250.46</c:v>
                </c:pt>
                <c:pt idx="88">
                  <c:v>1237.6500000000001</c:v>
                </c:pt>
                <c:pt idx="89">
                  <c:v>1233.92</c:v>
                </c:pt>
                <c:pt idx="90">
                  <c:v>1260.3399999999999</c:v>
                </c:pt>
                <c:pt idx="91">
                  <c:v>1261.8699999999999</c:v>
                </c:pt>
                <c:pt idx="92">
                  <c:v>1280.5999999999999</c:v>
                </c:pt>
                <c:pt idx="93">
                  <c:v>1252.7</c:v>
                </c:pt>
                <c:pt idx="94">
                  <c:v>1259.99</c:v>
                </c:pt>
                <c:pt idx="95">
                  <c:v>1271.26</c:v>
                </c:pt>
                <c:pt idx="96">
                  <c:v>1246.95</c:v>
                </c:pt>
                <c:pt idx="97">
                  <c:v>1258.92</c:v>
                </c:pt>
                <c:pt idx="98">
                  <c:v>1248.96</c:v>
                </c:pt>
                <c:pt idx="99">
                  <c:v>1231.47</c:v>
                </c:pt>
                <c:pt idx="100">
                  <c:v>1251.56</c:v>
                </c:pt>
                <c:pt idx="101">
                  <c:v>1259.19</c:v>
                </c:pt>
                <c:pt idx="102">
                  <c:v>1245.98</c:v>
                </c:pt>
                <c:pt idx="103">
                  <c:v>1260.3599999999999</c:v>
                </c:pt>
                <c:pt idx="104">
                  <c:v>1231.27</c:v>
                </c:pt>
                <c:pt idx="105">
                  <c:v>1259.42</c:v>
                </c:pt>
                <c:pt idx="106">
                  <c:v>1257.31</c:v>
                </c:pt>
                <c:pt idx="107">
                  <c:v>1260.32</c:v>
                </c:pt>
                <c:pt idx="108">
                  <c:v>1253.6600000000001</c:v>
                </c:pt>
                <c:pt idx="109">
                  <c:v>1268.8599999999999</c:v>
                </c:pt>
                <c:pt idx="110">
                  <c:v>1264.44</c:v>
                </c:pt>
                <c:pt idx="111">
                  <c:v>1248.02</c:v>
                </c:pt>
                <c:pt idx="112">
                  <c:v>1246.23</c:v>
                </c:pt>
                <c:pt idx="113">
                  <c:v>1269.73</c:v>
                </c:pt>
                <c:pt idx="114">
                  <c:v>1262.51</c:v>
                </c:pt>
                <c:pt idx="115">
                  <c:v>1242.2</c:v>
                </c:pt>
                <c:pt idx="116">
                  <c:v>1251.31</c:v>
                </c:pt>
                <c:pt idx="117">
                  <c:v>1243.5999999999999</c:v>
                </c:pt>
                <c:pt idx="118">
                  <c:v>1258.04</c:v>
                </c:pt>
                <c:pt idx="119">
                  <c:v>1262.3699999999999</c:v>
                </c:pt>
                <c:pt idx="120">
                  <c:v>2368.52</c:v>
                </c:pt>
                <c:pt idx="121">
                  <c:v>2372.19</c:v>
                </c:pt>
                <c:pt idx="122">
                  <c:v>2349.36</c:v>
                </c:pt>
                <c:pt idx="123">
                  <c:v>2346.11</c:v>
                </c:pt>
                <c:pt idx="124">
                  <c:v>2363.87</c:v>
                </c:pt>
                <c:pt idx="125">
                  <c:v>2379.0700000000002</c:v>
                </c:pt>
                <c:pt idx="126">
                  <c:v>2348.3200000000002</c:v>
                </c:pt>
                <c:pt idx="127">
                  <c:v>2364.84</c:v>
                </c:pt>
                <c:pt idx="128">
                  <c:v>2363.5300000000002</c:v>
                </c:pt>
                <c:pt idx="129">
                  <c:v>2388.87</c:v>
                </c:pt>
                <c:pt idx="130">
                  <c:v>2346.67</c:v>
                </c:pt>
                <c:pt idx="131">
                  <c:v>2363.2800000000002</c:v>
                </c:pt>
                <c:pt idx="132">
                  <c:v>2354.5700000000002</c:v>
                </c:pt>
                <c:pt idx="133">
                  <c:v>2382.29</c:v>
                </c:pt>
                <c:pt idx="134">
                  <c:v>2343.2600000000002</c:v>
                </c:pt>
                <c:pt idx="135">
                  <c:v>2385.4</c:v>
                </c:pt>
                <c:pt idx="136">
                  <c:v>2389.73</c:v>
                </c:pt>
                <c:pt idx="137">
                  <c:v>2376.31</c:v>
                </c:pt>
                <c:pt idx="138">
                  <c:v>2364.4699999999998</c:v>
                </c:pt>
                <c:pt idx="139">
                  <c:v>2367.2800000000002</c:v>
                </c:pt>
                <c:pt idx="140">
                  <c:v>2381.09</c:v>
                </c:pt>
                <c:pt idx="141">
                  <c:v>2367.81</c:v>
                </c:pt>
                <c:pt idx="142">
                  <c:v>2359.14</c:v>
                </c:pt>
                <c:pt idx="143">
                  <c:v>2356.87</c:v>
                </c:pt>
                <c:pt idx="144">
                  <c:v>2358.69</c:v>
                </c:pt>
                <c:pt idx="145">
                  <c:v>2363.9899999999998</c:v>
                </c:pt>
                <c:pt idx="146">
                  <c:v>2375.33</c:v>
                </c:pt>
                <c:pt idx="147">
                  <c:v>2359.7800000000002</c:v>
                </c:pt>
                <c:pt idx="148">
                  <c:v>2372.94</c:v>
                </c:pt>
                <c:pt idx="149">
                  <c:v>2388.25</c:v>
                </c:pt>
                <c:pt idx="150">
                  <c:v>2362.0700000000002</c:v>
                </c:pt>
                <c:pt idx="151">
                  <c:v>2367.7600000000002</c:v>
                </c:pt>
                <c:pt idx="152">
                  <c:v>2347.09</c:v>
                </c:pt>
                <c:pt idx="153">
                  <c:v>2378.27</c:v>
                </c:pt>
                <c:pt idx="154">
                  <c:v>2360.67</c:v>
                </c:pt>
                <c:pt idx="155">
                  <c:v>2379.1999999999998</c:v>
                </c:pt>
                <c:pt idx="156">
                  <c:v>2374.9899999999998</c:v>
                </c:pt>
                <c:pt idx="157">
                  <c:v>2368.66</c:v>
                </c:pt>
                <c:pt idx="158">
                  <c:v>2358.1999999999998</c:v>
                </c:pt>
                <c:pt idx="159">
                  <c:v>2380.6799999999998</c:v>
                </c:pt>
                <c:pt idx="160">
                  <c:v>2374.83</c:v>
                </c:pt>
                <c:pt idx="161">
                  <c:v>2375.5100000000002</c:v>
                </c:pt>
                <c:pt idx="162">
                  <c:v>2358.62</c:v>
                </c:pt>
                <c:pt idx="163">
                  <c:v>2388</c:v>
                </c:pt>
                <c:pt idx="164">
                  <c:v>2373.75</c:v>
                </c:pt>
                <c:pt idx="165">
                  <c:v>2372.4899999999998</c:v>
                </c:pt>
                <c:pt idx="166">
                  <c:v>2370.77</c:v>
                </c:pt>
                <c:pt idx="167">
                  <c:v>2379.1999999999998</c:v>
                </c:pt>
                <c:pt idx="168">
                  <c:v>2378.81</c:v>
                </c:pt>
                <c:pt idx="169">
                  <c:v>2386.2600000000002</c:v>
                </c:pt>
                <c:pt idx="170">
                  <c:v>2350.31</c:v>
                </c:pt>
                <c:pt idx="171">
                  <c:v>2367.92</c:v>
                </c:pt>
                <c:pt idx="172">
                  <c:v>2367.3200000000002</c:v>
                </c:pt>
                <c:pt idx="173">
                  <c:v>2358.73</c:v>
                </c:pt>
                <c:pt idx="174">
                  <c:v>2370.62</c:v>
                </c:pt>
                <c:pt idx="175">
                  <c:v>2372.81</c:v>
                </c:pt>
                <c:pt idx="176">
                  <c:v>2365.3000000000002</c:v>
                </c:pt>
                <c:pt idx="177">
                  <c:v>2367.3200000000002</c:v>
                </c:pt>
                <c:pt idx="178">
                  <c:v>2363.1799999999998</c:v>
                </c:pt>
                <c:pt idx="179">
                  <c:v>2354.52</c:v>
                </c:pt>
                <c:pt idx="180">
                  <c:v>2901.47</c:v>
                </c:pt>
                <c:pt idx="181">
                  <c:v>2910.52</c:v>
                </c:pt>
                <c:pt idx="182">
                  <c:v>2888.71</c:v>
                </c:pt>
                <c:pt idx="183">
                  <c:v>2872.62</c:v>
                </c:pt>
                <c:pt idx="184">
                  <c:v>2920.44</c:v>
                </c:pt>
                <c:pt idx="185">
                  <c:v>2887.41</c:v>
                </c:pt>
                <c:pt idx="186">
                  <c:v>2878.36</c:v>
                </c:pt>
                <c:pt idx="187">
                  <c:v>2882.98</c:v>
                </c:pt>
                <c:pt idx="188">
                  <c:v>2890.92</c:v>
                </c:pt>
                <c:pt idx="189">
                  <c:v>2913.52</c:v>
                </c:pt>
                <c:pt idx="190">
                  <c:v>2893.6</c:v>
                </c:pt>
                <c:pt idx="191">
                  <c:v>2894.34</c:v>
                </c:pt>
                <c:pt idx="192">
                  <c:v>2892.64</c:v>
                </c:pt>
                <c:pt idx="193">
                  <c:v>2885.71</c:v>
                </c:pt>
                <c:pt idx="194">
                  <c:v>2883.87</c:v>
                </c:pt>
                <c:pt idx="195">
                  <c:v>2882.5</c:v>
                </c:pt>
                <c:pt idx="196">
                  <c:v>2882.01</c:v>
                </c:pt>
                <c:pt idx="197">
                  <c:v>2895</c:v>
                </c:pt>
                <c:pt idx="198">
                  <c:v>2894.37</c:v>
                </c:pt>
                <c:pt idx="199">
                  <c:v>2903.65</c:v>
                </c:pt>
                <c:pt idx="200">
                  <c:v>2875.57</c:v>
                </c:pt>
                <c:pt idx="201">
                  <c:v>2912.24</c:v>
                </c:pt>
                <c:pt idx="202">
                  <c:v>2893.81</c:v>
                </c:pt>
                <c:pt idx="203">
                  <c:v>2896.42</c:v>
                </c:pt>
                <c:pt idx="204">
                  <c:v>2876.73</c:v>
                </c:pt>
                <c:pt idx="205">
                  <c:v>2866.82</c:v>
                </c:pt>
                <c:pt idx="206">
                  <c:v>2886.03</c:v>
                </c:pt>
                <c:pt idx="207">
                  <c:v>2892.55</c:v>
                </c:pt>
                <c:pt idx="208">
                  <c:v>2883.12</c:v>
                </c:pt>
                <c:pt idx="209">
                  <c:v>2871.13</c:v>
                </c:pt>
                <c:pt idx="210">
                  <c:v>2912.36</c:v>
                </c:pt>
                <c:pt idx="211">
                  <c:v>2899.51</c:v>
                </c:pt>
                <c:pt idx="212">
                  <c:v>2876.42</c:v>
                </c:pt>
                <c:pt idx="213">
                  <c:v>2899.21</c:v>
                </c:pt>
                <c:pt idx="214">
                  <c:v>2879.56</c:v>
                </c:pt>
                <c:pt idx="215">
                  <c:v>2887.03</c:v>
                </c:pt>
                <c:pt idx="216">
                  <c:v>2863.94</c:v>
                </c:pt>
                <c:pt idx="217">
                  <c:v>2877.85</c:v>
                </c:pt>
                <c:pt idx="218">
                  <c:v>2886.85</c:v>
                </c:pt>
                <c:pt idx="219">
                  <c:v>2878.33</c:v>
                </c:pt>
                <c:pt idx="220">
                  <c:v>2879.13</c:v>
                </c:pt>
                <c:pt idx="221">
                  <c:v>2885.92</c:v>
                </c:pt>
                <c:pt idx="222">
                  <c:v>2920.13</c:v>
                </c:pt>
                <c:pt idx="223">
                  <c:v>2889.89</c:v>
                </c:pt>
                <c:pt idx="224">
                  <c:v>2893.43</c:v>
                </c:pt>
                <c:pt idx="225">
                  <c:v>2898.19</c:v>
                </c:pt>
                <c:pt idx="226">
                  <c:v>2898.58</c:v>
                </c:pt>
                <c:pt idx="227">
                  <c:v>2878.21</c:v>
                </c:pt>
                <c:pt idx="228">
                  <c:v>2873.14</c:v>
                </c:pt>
                <c:pt idx="229">
                  <c:v>2886.21</c:v>
                </c:pt>
                <c:pt idx="230">
                  <c:v>2900.85</c:v>
                </c:pt>
                <c:pt idx="231">
                  <c:v>2883.01</c:v>
                </c:pt>
                <c:pt idx="232">
                  <c:v>2887.51</c:v>
                </c:pt>
                <c:pt idx="233">
                  <c:v>2882.36</c:v>
                </c:pt>
                <c:pt idx="234">
                  <c:v>2911.36</c:v>
                </c:pt>
                <c:pt idx="235">
                  <c:v>2869.39</c:v>
                </c:pt>
                <c:pt idx="236">
                  <c:v>2864.22</c:v>
                </c:pt>
                <c:pt idx="237">
                  <c:v>2886.01</c:v>
                </c:pt>
                <c:pt idx="238">
                  <c:v>2901</c:v>
                </c:pt>
                <c:pt idx="239">
                  <c:v>2893.28</c:v>
                </c:pt>
                <c:pt idx="240">
                  <c:v>1939.2</c:v>
                </c:pt>
                <c:pt idx="241">
                  <c:v>1964.8</c:v>
                </c:pt>
                <c:pt idx="242">
                  <c:v>1976.92</c:v>
                </c:pt>
                <c:pt idx="243">
                  <c:v>1964.21</c:v>
                </c:pt>
                <c:pt idx="244">
                  <c:v>1951.14</c:v>
                </c:pt>
                <c:pt idx="245">
                  <c:v>1957.63</c:v>
                </c:pt>
                <c:pt idx="246">
                  <c:v>1934.04</c:v>
                </c:pt>
                <c:pt idx="247">
                  <c:v>1953.65</c:v>
                </c:pt>
                <c:pt idx="248">
                  <c:v>1957.44</c:v>
                </c:pt>
                <c:pt idx="249">
                  <c:v>1962.99</c:v>
                </c:pt>
                <c:pt idx="250">
                  <c:v>1953</c:v>
                </c:pt>
                <c:pt idx="251">
                  <c:v>1950.97</c:v>
                </c:pt>
                <c:pt idx="252">
                  <c:v>1945.52</c:v>
                </c:pt>
                <c:pt idx="253">
                  <c:v>1953.34</c:v>
                </c:pt>
                <c:pt idx="254">
                  <c:v>1968.38</c:v>
                </c:pt>
                <c:pt idx="255">
                  <c:v>1952.84</c:v>
                </c:pt>
                <c:pt idx="256">
                  <c:v>1937.92</c:v>
                </c:pt>
                <c:pt idx="257">
                  <c:v>1949.47</c:v>
                </c:pt>
                <c:pt idx="258">
                  <c:v>1966.76</c:v>
                </c:pt>
                <c:pt idx="259">
                  <c:v>1950.72</c:v>
                </c:pt>
                <c:pt idx="260">
                  <c:v>1952.78</c:v>
                </c:pt>
                <c:pt idx="261">
                  <c:v>1970.26</c:v>
                </c:pt>
                <c:pt idx="262">
                  <c:v>1960.57</c:v>
                </c:pt>
                <c:pt idx="263">
                  <c:v>1950.08</c:v>
                </c:pt>
                <c:pt idx="264">
                  <c:v>1956.89</c:v>
                </c:pt>
                <c:pt idx="265">
                  <c:v>1944.26</c:v>
                </c:pt>
                <c:pt idx="266">
                  <c:v>1954.02</c:v>
                </c:pt>
                <c:pt idx="267">
                  <c:v>1940.94</c:v>
                </c:pt>
                <c:pt idx="268">
                  <c:v>1962.22</c:v>
                </c:pt>
                <c:pt idx="269">
                  <c:v>1952.78</c:v>
                </c:pt>
                <c:pt idx="270">
                  <c:v>1966.31</c:v>
                </c:pt>
                <c:pt idx="271">
                  <c:v>1934.74</c:v>
                </c:pt>
                <c:pt idx="272">
                  <c:v>1986.59</c:v>
                </c:pt>
                <c:pt idx="273">
                  <c:v>1946.57</c:v>
                </c:pt>
                <c:pt idx="274">
                  <c:v>1950.54</c:v>
                </c:pt>
                <c:pt idx="275">
                  <c:v>1966.09</c:v>
                </c:pt>
                <c:pt idx="276">
                  <c:v>1953.75</c:v>
                </c:pt>
                <c:pt idx="277">
                  <c:v>1959.02</c:v>
                </c:pt>
                <c:pt idx="278">
                  <c:v>1945.3</c:v>
                </c:pt>
                <c:pt idx="279">
                  <c:v>1972.61</c:v>
                </c:pt>
                <c:pt idx="280">
                  <c:v>1966.05</c:v>
                </c:pt>
                <c:pt idx="281">
                  <c:v>1953.48</c:v>
                </c:pt>
                <c:pt idx="282">
                  <c:v>1953.62</c:v>
                </c:pt>
                <c:pt idx="283">
                  <c:v>1957.95</c:v>
                </c:pt>
                <c:pt idx="284">
                  <c:v>1950.92</c:v>
                </c:pt>
                <c:pt idx="285">
                  <c:v>1956.98</c:v>
                </c:pt>
                <c:pt idx="286">
                  <c:v>1934.74</c:v>
                </c:pt>
                <c:pt idx="287">
                  <c:v>1959.9</c:v>
                </c:pt>
                <c:pt idx="288">
                  <c:v>1952.34</c:v>
                </c:pt>
                <c:pt idx="289">
                  <c:v>1964.04</c:v>
                </c:pt>
                <c:pt idx="290">
                  <c:v>1959.01</c:v>
                </c:pt>
                <c:pt idx="291">
                  <c:v>1922.94</c:v>
                </c:pt>
                <c:pt idx="292">
                  <c:v>1953.19</c:v>
                </c:pt>
                <c:pt idx="293">
                  <c:v>1951.23</c:v>
                </c:pt>
                <c:pt idx="294">
                  <c:v>1947.95</c:v>
                </c:pt>
                <c:pt idx="295">
                  <c:v>1941.33</c:v>
                </c:pt>
                <c:pt idx="296">
                  <c:v>1980.86</c:v>
                </c:pt>
                <c:pt idx="297">
                  <c:v>1950.27</c:v>
                </c:pt>
                <c:pt idx="298">
                  <c:v>1940.92</c:v>
                </c:pt>
                <c:pt idx="299">
                  <c:v>1946.31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6-4E10-AB57-C246E93CD689}"/>
            </c:ext>
          </c:extLst>
        </c:ser>
        <c:ser>
          <c:idx val="1"/>
          <c:order val="1"/>
          <c:tx>
            <c:v>7 day moving avg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Sheet1!$A$2:$A$301</c:f>
              <c:strCache>
                <c:ptCount val="300"/>
                <c:pt idx="0">
                  <c:v>2025-05-29</c:v>
                </c:pt>
                <c:pt idx="1">
                  <c:v>2025-05-28</c:v>
                </c:pt>
                <c:pt idx="2">
                  <c:v>2025-05-27</c:v>
                </c:pt>
                <c:pt idx="3">
                  <c:v>2025-05-26</c:v>
                </c:pt>
                <c:pt idx="4">
                  <c:v>2025-05-23</c:v>
                </c:pt>
                <c:pt idx="5">
                  <c:v>2025-05-22</c:v>
                </c:pt>
                <c:pt idx="6">
                  <c:v>2025-05-21</c:v>
                </c:pt>
                <c:pt idx="7">
                  <c:v>2025-05-20</c:v>
                </c:pt>
                <c:pt idx="8">
                  <c:v>2025-05-19</c:v>
                </c:pt>
                <c:pt idx="9">
                  <c:v>2025-05-16</c:v>
                </c:pt>
                <c:pt idx="10">
                  <c:v>2025-05-15</c:v>
                </c:pt>
                <c:pt idx="11">
                  <c:v>2025-05-14</c:v>
                </c:pt>
                <c:pt idx="12">
                  <c:v>2025-05-13</c:v>
                </c:pt>
                <c:pt idx="13">
                  <c:v>2025-05-12</c:v>
                </c:pt>
                <c:pt idx="14">
                  <c:v>2025-05-09</c:v>
                </c:pt>
                <c:pt idx="15">
                  <c:v>2025-05-08</c:v>
                </c:pt>
                <c:pt idx="16">
                  <c:v>2025-05-07</c:v>
                </c:pt>
                <c:pt idx="17">
                  <c:v>2025-05-06</c:v>
                </c:pt>
                <c:pt idx="18">
                  <c:v>2025-05-05</c:v>
                </c:pt>
                <c:pt idx="19">
                  <c:v>2025-05-02</c:v>
                </c:pt>
                <c:pt idx="20">
                  <c:v>2025-05-01</c:v>
                </c:pt>
                <c:pt idx="21">
                  <c:v>2025-04-30</c:v>
                </c:pt>
                <c:pt idx="22">
                  <c:v>2025-04-29</c:v>
                </c:pt>
                <c:pt idx="23">
                  <c:v>2025-04-28</c:v>
                </c:pt>
                <c:pt idx="24">
                  <c:v>2025-04-25</c:v>
                </c:pt>
                <c:pt idx="25">
                  <c:v>2025-04-24</c:v>
                </c:pt>
                <c:pt idx="26">
                  <c:v>2025-04-23</c:v>
                </c:pt>
                <c:pt idx="27">
                  <c:v>2025-04-22</c:v>
                </c:pt>
                <c:pt idx="28">
                  <c:v>2025-04-21</c:v>
                </c:pt>
                <c:pt idx="29">
                  <c:v>2025-04-18</c:v>
                </c:pt>
                <c:pt idx="30">
                  <c:v>2025-04-17</c:v>
                </c:pt>
                <c:pt idx="31">
                  <c:v>2025-04-16</c:v>
                </c:pt>
                <c:pt idx="32">
                  <c:v>2025-04-15</c:v>
                </c:pt>
                <c:pt idx="33">
                  <c:v>2025-04-14</c:v>
                </c:pt>
                <c:pt idx="34">
                  <c:v>2025-04-11</c:v>
                </c:pt>
                <c:pt idx="35">
                  <c:v>2025-04-10</c:v>
                </c:pt>
                <c:pt idx="36">
                  <c:v>2025-04-09</c:v>
                </c:pt>
                <c:pt idx="37">
                  <c:v>2025-04-08</c:v>
                </c:pt>
                <c:pt idx="38">
                  <c:v>2025-04-07</c:v>
                </c:pt>
                <c:pt idx="39">
                  <c:v>2025-04-04</c:v>
                </c:pt>
                <c:pt idx="40">
                  <c:v>2025-04-03</c:v>
                </c:pt>
                <c:pt idx="41">
                  <c:v>2025-04-02</c:v>
                </c:pt>
                <c:pt idx="42">
                  <c:v>2025-04-01</c:v>
                </c:pt>
                <c:pt idx="43">
                  <c:v>2025-03-31</c:v>
                </c:pt>
                <c:pt idx="44">
                  <c:v>2025-03-28</c:v>
                </c:pt>
                <c:pt idx="45">
                  <c:v>2025-03-27</c:v>
                </c:pt>
                <c:pt idx="46">
                  <c:v>2025-03-26</c:v>
                </c:pt>
                <c:pt idx="47">
                  <c:v>2025-03-25</c:v>
                </c:pt>
                <c:pt idx="48">
                  <c:v>2025-03-24</c:v>
                </c:pt>
                <c:pt idx="49">
                  <c:v>2025-03-21</c:v>
                </c:pt>
                <c:pt idx="50">
                  <c:v>2025-03-20</c:v>
                </c:pt>
                <c:pt idx="51">
                  <c:v>2025-03-19</c:v>
                </c:pt>
                <c:pt idx="52">
                  <c:v>2025-03-18</c:v>
                </c:pt>
                <c:pt idx="53">
                  <c:v>2025-03-17</c:v>
                </c:pt>
                <c:pt idx="54">
                  <c:v>2025-03-14</c:v>
                </c:pt>
                <c:pt idx="55">
                  <c:v>2025-03-13</c:v>
                </c:pt>
                <c:pt idx="56">
                  <c:v>2025-03-12</c:v>
                </c:pt>
                <c:pt idx="57">
                  <c:v>2025-03-11</c:v>
                </c:pt>
                <c:pt idx="58">
                  <c:v>2025-03-10</c:v>
                </c:pt>
                <c:pt idx="59">
                  <c:v>2025-03-07</c:v>
                </c:pt>
                <c:pt idx="60">
                  <c:v>2025-05-29</c:v>
                </c:pt>
                <c:pt idx="61">
                  <c:v>2025-05-28</c:v>
                </c:pt>
                <c:pt idx="62">
                  <c:v>2025-05-27</c:v>
                </c:pt>
                <c:pt idx="63">
                  <c:v>2025-05-26</c:v>
                </c:pt>
                <c:pt idx="64">
                  <c:v>2025-05-23</c:v>
                </c:pt>
                <c:pt idx="65">
                  <c:v>2025-05-22</c:v>
                </c:pt>
                <c:pt idx="66">
                  <c:v>2025-05-21</c:v>
                </c:pt>
                <c:pt idx="67">
                  <c:v>2025-05-20</c:v>
                </c:pt>
                <c:pt idx="68">
                  <c:v>2025-05-19</c:v>
                </c:pt>
                <c:pt idx="69">
                  <c:v>2025-05-16</c:v>
                </c:pt>
                <c:pt idx="70">
                  <c:v>2025-05-15</c:v>
                </c:pt>
                <c:pt idx="71">
                  <c:v>2025-05-14</c:v>
                </c:pt>
                <c:pt idx="72">
                  <c:v>2025-05-13</c:v>
                </c:pt>
                <c:pt idx="73">
                  <c:v>2025-05-12</c:v>
                </c:pt>
                <c:pt idx="74">
                  <c:v>2025-05-09</c:v>
                </c:pt>
                <c:pt idx="75">
                  <c:v>2025-05-08</c:v>
                </c:pt>
                <c:pt idx="76">
                  <c:v>2025-05-07</c:v>
                </c:pt>
                <c:pt idx="77">
                  <c:v>2025-05-06</c:v>
                </c:pt>
                <c:pt idx="78">
                  <c:v>2025-05-05</c:v>
                </c:pt>
                <c:pt idx="79">
                  <c:v>2025-05-02</c:v>
                </c:pt>
                <c:pt idx="80">
                  <c:v>2025-05-01</c:v>
                </c:pt>
                <c:pt idx="81">
                  <c:v>2025-04-30</c:v>
                </c:pt>
                <c:pt idx="82">
                  <c:v>2025-04-29</c:v>
                </c:pt>
                <c:pt idx="83">
                  <c:v>2025-04-28</c:v>
                </c:pt>
                <c:pt idx="84">
                  <c:v>2025-04-25</c:v>
                </c:pt>
                <c:pt idx="85">
                  <c:v>2025-04-24</c:v>
                </c:pt>
                <c:pt idx="86">
                  <c:v>2025-04-23</c:v>
                </c:pt>
                <c:pt idx="87">
                  <c:v>2025-04-22</c:v>
                </c:pt>
                <c:pt idx="88">
                  <c:v>2025-04-21</c:v>
                </c:pt>
                <c:pt idx="89">
                  <c:v>2025-04-18</c:v>
                </c:pt>
                <c:pt idx="90">
                  <c:v>2025-04-17</c:v>
                </c:pt>
                <c:pt idx="91">
                  <c:v>2025-04-16</c:v>
                </c:pt>
                <c:pt idx="92">
                  <c:v>2025-04-15</c:v>
                </c:pt>
                <c:pt idx="93">
                  <c:v>2025-04-14</c:v>
                </c:pt>
                <c:pt idx="94">
                  <c:v>2025-04-11</c:v>
                </c:pt>
                <c:pt idx="95">
                  <c:v>2025-04-10</c:v>
                </c:pt>
                <c:pt idx="96">
                  <c:v>2025-04-09</c:v>
                </c:pt>
                <c:pt idx="97">
                  <c:v>2025-04-08</c:v>
                </c:pt>
                <c:pt idx="98">
                  <c:v>2025-04-07</c:v>
                </c:pt>
                <c:pt idx="99">
                  <c:v>2025-04-04</c:v>
                </c:pt>
                <c:pt idx="100">
                  <c:v>2025-04-03</c:v>
                </c:pt>
                <c:pt idx="101">
                  <c:v>2025-04-02</c:v>
                </c:pt>
                <c:pt idx="102">
                  <c:v>2025-04-01</c:v>
                </c:pt>
                <c:pt idx="103">
                  <c:v>2025-03-31</c:v>
                </c:pt>
                <c:pt idx="104">
                  <c:v>2025-03-28</c:v>
                </c:pt>
                <c:pt idx="105">
                  <c:v>2025-03-27</c:v>
                </c:pt>
                <c:pt idx="106">
                  <c:v>2025-03-26</c:v>
                </c:pt>
                <c:pt idx="107">
                  <c:v>2025-03-25</c:v>
                </c:pt>
                <c:pt idx="108">
                  <c:v>2025-03-24</c:v>
                </c:pt>
                <c:pt idx="109">
                  <c:v>2025-03-21</c:v>
                </c:pt>
                <c:pt idx="110">
                  <c:v>2025-03-20</c:v>
                </c:pt>
                <c:pt idx="111">
                  <c:v>2025-03-19</c:v>
                </c:pt>
                <c:pt idx="112">
                  <c:v>2025-03-18</c:v>
                </c:pt>
                <c:pt idx="113">
                  <c:v>2025-03-17</c:v>
                </c:pt>
                <c:pt idx="114">
                  <c:v>2025-03-14</c:v>
                </c:pt>
                <c:pt idx="115">
                  <c:v>2025-03-13</c:v>
                </c:pt>
                <c:pt idx="116">
                  <c:v>2025-03-12</c:v>
                </c:pt>
                <c:pt idx="117">
                  <c:v>2025-03-11</c:v>
                </c:pt>
                <c:pt idx="118">
                  <c:v>2025-03-10</c:v>
                </c:pt>
                <c:pt idx="119">
                  <c:v>2025-03-07</c:v>
                </c:pt>
                <c:pt idx="120">
                  <c:v>2025-05-29</c:v>
                </c:pt>
                <c:pt idx="121">
                  <c:v>2025-05-28</c:v>
                </c:pt>
                <c:pt idx="122">
                  <c:v>2025-05-27</c:v>
                </c:pt>
                <c:pt idx="123">
                  <c:v>2025-05-26</c:v>
                </c:pt>
                <c:pt idx="124">
                  <c:v>2025-05-23</c:v>
                </c:pt>
                <c:pt idx="125">
                  <c:v>2025-05-22</c:v>
                </c:pt>
                <c:pt idx="126">
                  <c:v>2025-05-21</c:v>
                </c:pt>
                <c:pt idx="127">
                  <c:v>2025-05-20</c:v>
                </c:pt>
                <c:pt idx="128">
                  <c:v>2025-05-19</c:v>
                </c:pt>
                <c:pt idx="129">
                  <c:v>2025-05-16</c:v>
                </c:pt>
                <c:pt idx="130">
                  <c:v>2025-05-15</c:v>
                </c:pt>
                <c:pt idx="131">
                  <c:v>2025-05-14</c:v>
                </c:pt>
                <c:pt idx="132">
                  <c:v>2025-05-13</c:v>
                </c:pt>
                <c:pt idx="133">
                  <c:v>2025-05-12</c:v>
                </c:pt>
                <c:pt idx="134">
                  <c:v>2025-05-09</c:v>
                </c:pt>
                <c:pt idx="135">
                  <c:v>2025-05-08</c:v>
                </c:pt>
                <c:pt idx="136">
                  <c:v>2025-05-07</c:v>
                </c:pt>
                <c:pt idx="137">
                  <c:v>2025-05-06</c:v>
                </c:pt>
                <c:pt idx="138">
                  <c:v>2025-05-05</c:v>
                </c:pt>
                <c:pt idx="139">
                  <c:v>2025-05-02</c:v>
                </c:pt>
                <c:pt idx="140">
                  <c:v>2025-05-01</c:v>
                </c:pt>
                <c:pt idx="141">
                  <c:v>2025-04-30</c:v>
                </c:pt>
                <c:pt idx="142">
                  <c:v>2025-04-29</c:v>
                </c:pt>
                <c:pt idx="143">
                  <c:v>2025-04-28</c:v>
                </c:pt>
                <c:pt idx="144">
                  <c:v>2025-04-25</c:v>
                </c:pt>
                <c:pt idx="145">
                  <c:v>2025-04-24</c:v>
                </c:pt>
                <c:pt idx="146">
                  <c:v>2025-04-23</c:v>
                </c:pt>
                <c:pt idx="147">
                  <c:v>2025-04-22</c:v>
                </c:pt>
                <c:pt idx="148">
                  <c:v>2025-04-21</c:v>
                </c:pt>
                <c:pt idx="149">
                  <c:v>2025-04-18</c:v>
                </c:pt>
                <c:pt idx="150">
                  <c:v>2025-04-17</c:v>
                </c:pt>
                <c:pt idx="151">
                  <c:v>2025-04-16</c:v>
                </c:pt>
                <c:pt idx="152">
                  <c:v>2025-04-15</c:v>
                </c:pt>
                <c:pt idx="153">
                  <c:v>2025-04-14</c:v>
                </c:pt>
                <c:pt idx="154">
                  <c:v>2025-04-11</c:v>
                </c:pt>
                <c:pt idx="155">
                  <c:v>2025-04-10</c:v>
                </c:pt>
                <c:pt idx="156">
                  <c:v>2025-04-09</c:v>
                </c:pt>
                <c:pt idx="157">
                  <c:v>2025-04-08</c:v>
                </c:pt>
                <c:pt idx="158">
                  <c:v>2025-04-07</c:v>
                </c:pt>
                <c:pt idx="159">
                  <c:v>2025-04-04</c:v>
                </c:pt>
                <c:pt idx="160">
                  <c:v>2025-04-03</c:v>
                </c:pt>
                <c:pt idx="161">
                  <c:v>2025-04-02</c:v>
                </c:pt>
                <c:pt idx="162">
                  <c:v>2025-04-01</c:v>
                </c:pt>
                <c:pt idx="163">
                  <c:v>2025-03-31</c:v>
                </c:pt>
                <c:pt idx="164">
                  <c:v>2025-03-28</c:v>
                </c:pt>
                <c:pt idx="165">
                  <c:v>2025-03-27</c:v>
                </c:pt>
                <c:pt idx="166">
                  <c:v>2025-03-26</c:v>
                </c:pt>
                <c:pt idx="167">
                  <c:v>2025-03-25</c:v>
                </c:pt>
                <c:pt idx="168">
                  <c:v>2025-03-24</c:v>
                </c:pt>
                <c:pt idx="169">
                  <c:v>2025-03-21</c:v>
                </c:pt>
                <c:pt idx="170">
                  <c:v>2025-03-20</c:v>
                </c:pt>
                <c:pt idx="171">
                  <c:v>2025-03-19</c:v>
                </c:pt>
                <c:pt idx="172">
                  <c:v>2025-03-18</c:v>
                </c:pt>
                <c:pt idx="173">
                  <c:v>2025-03-17</c:v>
                </c:pt>
                <c:pt idx="174">
                  <c:v>2025-03-14</c:v>
                </c:pt>
                <c:pt idx="175">
                  <c:v>2025-03-13</c:v>
                </c:pt>
                <c:pt idx="176">
                  <c:v>2025-03-12</c:v>
                </c:pt>
                <c:pt idx="177">
                  <c:v>2025-03-11</c:v>
                </c:pt>
                <c:pt idx="178">
                  <c:v>2025-03-10</c:v>
                </c:pt>
                <c:pt idx="179">
                  <c:v>2025-03-07</c:v>
                </c:pt>
                <c:pt idx="180">
                  <c:v>2025-05-29</c:v>
                </c:pt>
                <c:pt idx="181">
                  <c:v>2025-05-28</c:v>
                </c:pt>
                <c:pt idx="182">
                  <c:v>2025-05-27</c:v>
                </c:pt>
                <c:pt idx="183">
                  <c:v>2025-05-26</c:v>
                </c:pt>
                <c:pt idx="184">
                  <c:v>2025-05-23</c:v>
                </c:pt>
                <c:pt idx="185">
                  <c:v>2025-05-22</c:v>
                </c:pt>
                <c:pt idx="186">
                  <c:v>2025-05-21</c:v>
                </c:pt>
                <c:pt idx="187">
                  <c:v>2025-05-20</c:v>
                </c:pt>
                <c:pt idx="188">
                  <c:v>2025-05-19</c:v>
                </c:pt>
                <c:pt idx="189">
                  <c:v>2025-05-16</c:v>
                </c:pt>
                <c:pt idx="190">
                  <c:v>2025-05-15</c:v>
                </c:pt>
                <c:pt idx="191">
                  <c:v>2025-05-14</c:v>
                </c:pt>
                <c:pt idx="192">
                  <c:v>2025-05-13</c:v>
                </c:pt>
                <c:pt idx="193">
                  <c:v>2025-05-12</c:v>
                </c:pt>
                <c:pt idx="194">
                  <c:v>2025-05-09</c:v>
                </c:pt>
                <c:pt idx="195">
                  <c:v>2025-05-08</c:v>
                </c:pt>
                <c:pt idx="196">
                  <c:v>2025-05-07</c:v>
                </c:pt>
                <c:pt idx="197">
                  <c:v>2025-05-06</c:v>
                </c:pt>
                <c:pt idx="198">
                  <c:v>2025-05-05</c:v>
                </c:pt>
                <c:pt idx="199">
                  <c:v>2025-05-02</c:v>
                </c:pt>
                <c:pt idx="200">
                  <c:v>2025-05-01</c:v>
                </c:pt>
                <c:pt idx="201">
                  <c:v>2025-04-30</c:v>
                </c:pt>
                <c:pt idx="202">
                  <c:v>2025-04-29</c:v>
                </c:pt>
                <c:pt idx="203">
                  <c:v>2025-04-28</c:v>
                </c:pt>
                <c:pt idx="204">
                  <c:v>2025-04-25</c:v>
                </c:pt>
                <c:pt idx="205">
                  <c:v>2025-04-24</c:v>
                </c:pt>
                <c:pt idx="206">
                  <c:v>2025-04-23</c:v>
                </c:pt>
                <c:pt idx="207">
                  <c:v>2025-04-22</c:v>
                </c:pt>
                <c:pt idx="208">
                  <c:v>2025-04-21</c:v>
                </c:pt>
                <c:pt idx="209">
                  <c:v>2025-04-18</c:v>
                </c:pt>
                <c:pt idx="210">
                  <c:v>2025-04-17</c:v>
                </c:pt>
                <c:pt idx="211">
                  <c:v>2025-04-16</c:v>
                </c:pt>
                <c:pt idx="212">
                  <c:v>2025-04-15</c:v>
                </c:pt>
                <c:pt idx="213">
                  <c:v>2025-04-14</c:v>
                </c:pt>
                <c:pt idx="214">
                  <c:v>2025-04-11</c:v>
                </c:pt>
                <c:pt idx="215">
                  <c:v>2025-04-10</c:v>
                </c:pt>
                <c:pt idx="216">
                  <c:v>2025-04-09</c:v>
                </c:pt>
                <c:pt idx="217">
                  <c:v>2025-04-08</c:v>
                </c:pt>
                <c:pt idx="218">
                  <c:v>2025-04-07</c:v>
                </c:pt>
                <c:pt idx="219">
                  <c:v>2025-04-04</c:v>
                </c:pt>
                <c:pt idx="220">
                  <c:v>2025-04-03</c:v>
                </c:pt>
                <c:pt idx="221">
                  <c:v>2025-04-02</c:v>
                </c:pt>
                <c:pt idx="222">
                  <c:v>2025-04-01</c:v>
                </c:pt>
                <c:pt idx="223">
                  <c:v>2025-03-31</c:v>
                </c:pt>
                <c:pt idx="224">
                  <c:v>2025-03-28</c:v>
                </c:pt>
                <c:pt idx="225">
                  <c:v>2025-03-27</c:v>
                </c:pt>
                <c:pt idx="226">
                  <c:v>2025-03-26</c:v>
                </c:pt>
                <c:pt idx="227">
                  <c:v>2025-03-25</c:v>
                </c:pt>
                <c:pt idx="228">
                  <c:v>2025-03-24</c:v>
                </c:pt>
                <c:pt idx="229">
                  <c:v>2025-03-21</c:v>
                </c:pt>
                <c:pt idx="230">
                  <c:v>2025-03-20</c:v>
                </c:pt>
                <c:pt idx="231">
                  <c:v>2025-03-19</c:v>
                </c:pt>
                <c:pt idx="232">
                  <c:v>2025-03-18</c:v>
                </c:pt>
                <c:pt idx="233">
                  <c:v>2025-03-17</c:v>
                </c:pt>
                <c:pt idx="234">
                  <c:v>2025-03-14</c:v>
                </c:pt>
                <c:pt idx="235">
                  <c:v>2025-03-13</c:v>
                </c:pt>
                <c:pt idx="236">
                  <c:v>2025-03-12</c:v>
                </c:pt>
                <c:pt idx="237">
                  <c:v>2025-03-11</c:v>
                </c:pt>
                <c:pt idx="238">
                  <c:v>2025-03-10</c:v>
                </c:pt>
                <c:pt idx="239">
                  <c:v>2025-03-07</c:v>
                </c:pt>
                <c:pt idx="240">
                  <c:v>2025-05-29</c:v>
                </c:pt>
                <c:pt idx="241">
                  <c:v>2025-05-28</c:v>
                </c:pt>
                <c:pt idx="242">
                  <c:v>2025-05-27</c:v>
                </c:pt>
                <c:pt idx="243">
                  <c:v>2025-05-26</c:v>
                </c:pt>
                <c:pt idx="244">
                  <c:v>2025-05-23</c:v>
                </c:pt>
                <c:pt idx="245">
                  <c:v>2025-05-22</c:v>
                </c:pt>
                <c:pt idx="246">
                  <c:v>2025-05-21</c:v>
                </c:pt>
                <c:pt idx="247">
                  <c:v>2025-05-20</c:v>
                </c:pt>
                <c:pt idx="248">
                  <c:v>2025-05-19</c:v>
                </c:pt>
                <c:pt idx="249">
                  <c:v>2025-05-16</c:v>
                </c:pt>
                <c:pt idx="250">
                  <c:v>2025-05-15</c:v>
                </c:pt>
                <c:pt idx="251">
                  <c:v>2025-05-14</c:v>
                </c:pt>
                <c:pt idx="252">
                  <c:v>2025-05-13</c:v>
                </c:pt>
                <c:pt idx="253">
                  <c:v>2025-05-12</c:v>
                </c:pt>
                <c:pt idx="254">
                  <c:v>2025-05-09</c:v>
                </c:pt>
                <c:pt idx="255">
                  <c:v>2025-05-08</c:v>
                </c:pt>
                <c:pt idx="256">
                  <c:v>2025-05-07</c:v>
                </c:pt>
                <c:pt idx="257">
                  <c:v>2025-05-06</c:v>
                </c:pt>
                <c:pt idx="258">
                  <c:v>2025-05-05</c:v>
                </c:pt>
                <c:pt idx="259">
                  <c:v>2025-05-02</c:v>
                </c:pt>
                <c:pt idx="260">
                  <c:v>2025-05-01</c:v>
                </c:pt>
                <c:pt idx="261">
                  <c:v>2025-04-30</c:v>
                </c:pt>
                <c:pt idx="262">
                  <c:v>2025-04-29</c:v>
                </c:pt>
                <c:pt idx="263">
                  <c:v>2025-04-28</c:v>
                </c:pt>
                <c:pt idx="264">
                  <c:v>2025-04-25</c:v>
                </c:pt>
                <c:pt idx="265">
                  <c:v>2025-04-24</c:v>
                </c:pt>
                <c:pt idx="266">
                  <c:v>2025-04-23</c:v>
                </c:pt>
                <c:pt idx="267">
                  <c:v>2025-04-22</c:v>
                </c:pt>
                <c:pt idx="268">
                  <c:v>2025-04-21</c:v>
                </c:pt>
                <c:pt idx="269">
                  <c:v>2025-04-18</c:v>
                </c:pt>
                <c:pt idx="270">
                  <c:v>2025-04-17</c:v>
                </c:pt>
                <c:pt idx="271">
                  <c:v>2025-04-16</c:v>
                </c:pt>
                <c:pt idx="272">
                  <c:v>2025-04-15</c:v>
                </c:pt>
                <c:pt idx="273">
                  <c:v>2025-04-14</c:v>
                </c:pt>
                <c:pt idx="274">
                  <c:v>2025-04-11</c:v>
                </c:pt>
                <c:pt idx="275">
                  <c:v>2025-04-10</c:v>
                </c:pt>
                <c:pt idx="276">
                  <c:v>2025-04-09</c:v>
                </c:pt>
                <c:pt idx="277">
                  <c:v>2025-04-08</c:v>
                </c:pt>
                <c:pt idx="278">
                  <c:v>2025-04-07</c:v>
                </c:pt>
                <c:pt idx="279">
                  <c:v>2025-04-04</c:v>
                </c:pt>
                <c:pt idx="280">
                  <c:v>2025-04-03</c:v>
                </c:pt>
                <c:pt idx="281">
                  <c:v>2025-04-02</c:v>
                </c:pt>
                <c:pt idx="282">
                  <c:v>2025-04-01</c:v>
                </c:pt>
                <c:pt idx="283">
                  <c:v>2025-03-31</c:v>
                </c:pt>
                <c:pt idx="284">
                  <c:v>2025-03-28</c:v>
                </c:pt>
                <c:pt idx="285">
                  <c:v>2025-03-27</c:v>
                </c:pt>
                <c:pt idx="286">
                  <c:v>2025-03-26</c:v>
                </c:pt>
                <c:pt idx="287">
                  <c:v>2025-03-25</c:v>
                </c:pt>
                <c:pt idx="288">
                  <c:v>2025-03-24</c:v>
                </c:pt>
                <c:pt idx="289">
                  <c:v>2025-03-21</c:v>
                </c:pt>
                <c:pt idx="290">
                  <c:v>2025-03-20</c:v>
                </c:pt>
                <c:pt idx="291">
                  <c:v>2025-03-19</c:v>
                </c:pt>
                <c:pt idx="292">
                  <c:v>2025-03-18</c:v>
                </c:pt>
                <c:pt idx="293">
                  <c:v>2025-03-17</c:v>
                </c:pt>
                <c:pt idx="294">
                  <c:v>2025-03-14</c:v>
                </c:pt>
                <c:pt idx="295">
                  <c:v>2025-03-13</c:v>
                </c:pt>
                <c:pt idx="296">
                  <c:v>2025-03-12</c:v>
                </c:pt>
                <c:pt idx="297">
                  <c:v>2025-03-11</c:v>
                </c:pt>
                <c:pt idx="298">
                  <c:v>2025-03-10</c:v>
                </c:pt>
                <c:pt idx="299">
                  <c:v>2025-03-07</c:v>
                </c:pt>
              </c:strCache>
            </c:strRef>
          </c:cat>
          <c:val>
            <c:numRef>
              <c:f>Sheet1!$J$2:$J$301</c:f>
              <c:numCache>
                <c:formatCode>General</c:formatCode>
                <c:ptCount val="300"/>
                <c:pt idx="0">
                  <c:v>686.93875000000003</c:v>
                </c:pt>
                <c:pt idx="1">
                  <c:v>684.40750000000003</c:v>
                </c:pt>
                <c:pt idx="2">
                  <c:v>683.55624999999998</c:v>
                </c:pt>
                <c:pt idx="3">
                  <c:v>681.03499999999997</c:v>
                </c:pt>
                <c:pt idx="4">
                  <c:v>679.95</c:v>
                </c:pt>
                <c:pt idx="5">
                  <c:v>680.78250000000003</c:v>
                </c:pt>
                <c:pt idx="6">
                  <c:v>677.48625000000004</c:v>
                </c:pt>
                <c:pt idx="7">
                  <c:v>675.44</c:v>
                </c:pt>
                <c:pt idx="8">
                  <c:v>675.60249999999996</c:v>
                </c:pt>
                <c:pt idx="9">
                  <c:v>678.91375000000005</c:v>
                </c:pt>
                <c:pt idx="10">
                  <c:v>682.24374999999998</c:v>
                </c:pt>
                <c:pt idx="11">
                  <c:v>683.6</c:v>
                </c:pt>
                <c:pt idx="12">
                  <c:v>684.31624999999997</c:v>
                </c:pt>
                <c:pt idx="13">
                  <c:v>684.9375</c:v>
                </c:pt>
                <c:pt idx="14">
                  <c:v>687.12375000000009</c:v>
                </c:pt>
                <c:pt idx="15">
                  <c:v>689.73749999999995</c:v>
                </c:pt>
                <c:pt idx="16">
                  <c:v>686.26749999999993</c:v>
                </c:pt>
                <c:pt idx="17">
                  <c:v>682.8637500000001</c:v>
                </c:pt>
                <c:pt idx="18">
                  <c:v>680.91250000000002</c:v>
                </c:pt>
                <c:pt idx="19">
                  <c:v>679.60750000000007</c:v>
                </c:pt>
                <c:pt idx="20">
                  <c:v>678.63625000000002</c:v>
                </c:pt>
                <c:pt idx="21">
                  <c:v>679.46875</c:v>
                </c:pt>
                <c:pt idx="22">
                  <c:v>679.16499999999996</c:v>
                </c:pt>
                <c:pt idx="23">
                  <c:v>677.5100000000001</c:v>
                </c:pt>
                <c:pt idx="24">
                  <c:v>681.82125000000008</c:v>
                </c:pt>
                <c:pt idx="25">
                  <c:v>682.92374999999993</c:v>
                </c:pt>
                <c:pt idx="26">
                  <c:v>684.58</c:v>
                </c:pt>
                <c:pt idx="27">
                  <c:v>686.68999999999994</c:v>
                </c:pt>
                <c:pt idx="28">
                  <c:v>688.53375000000005</c:v>
                </c:pt>
                <c:pt idx="29">
                  <c:v>688.37249999999995</c:v>
                </c:pt>
                <c:pt idx="30">
                  <c:v>687.99874999999986</c:v>
                </c:pt>
                <c:pt idx="31">
                  <c:v>684.83375000000001</c:v>
                </c:pt>
                <c:pt idx="32">
                  <c:v>684.66124999999988</c:v>
                </c:pt>
                <c:pt idx="33">
                  <c:v>684.38125000000002</c:v>
                </c:pt>
                <c:pt idx="34">
                  <c:v>682.19749999999988</c:v>
                </c:pt>
                <c:pt idx="35">
                  <c:v>679.70749999999998</c:v>
                </c:pt>
                <c:pt idx="36">
                  <c:v>677.95249999999987</c:v>
                </c:pt>
                <c:pt idx="37">
                  <c:v>679.08249999999998</c:v>
                </c:pt>
                <c:pt idx="38">
                  <c:v>679.03499999999997</c:v>
                </c:pt>
                <c:pt idx="39">
                  <c:v>681.64249999999993</c:v>
                </c:pt>
                <c:pt idx="40">
                  <c:v>680.86875000000009</c:v>
                </c:pt>
                <c:pt idx="41">
                  <c:v>680.40750000000003</c:v>
                </c:pt>
                <c:pt idx="42">
                  <c:v>680.87374999999997</c:v>
                </c:pt>
                <c:pt idx="43">
                  <c:v>683.28</c:v>
                </c:pt>
                <c:pt idx="44">
                  <c:v>685.37374999999997</c:v>
                </c:pt>
                <c:pt idx="45">
                  <c:v>682.45124999999996</c:v>
                </c:pt>
                <c:pt idx="46">
                  <c:v>683.47874999999999</c:v>
                </c:pt>
                <c:pt idx="47">
                  <c:v>682.97749999999996</c:v>
                </c:pt>
                <c:pt idx="48">
                  <c:v>682.63750000000005</c:v>
                </c:pt>
                <c:pt idx="49">
                  <c:v>684.09625000000005</c:v>
                </c:pt>
                <c:pt idx="50">
                  <c:v>684.6825</c:v>
                </c:pt>
                <c:pt idx="51">
                  <c:v>681.45625000000007</c:v>
                </c:pt>
                <c:pt idx="52">
                  <c:v>681.41000000000008</c:v>
                </c:pt>
                <c:pt idx="53">
                  <c:v>753.2</c:v>
                </c:pt>
                <c:pt idx="54">
                  <c:v>821.81749999999988</c:v>
                </c:pt>
                <c:pt idx="55">
                  <c:v>898.20499999999993</c:v>
                </c:pt>
                <c:pt idx="56">
                  <c:v>972.96125000000006</c:v>
                </c:pt>
                <c:pt idx="57">
                  <c:v>1043.6512500000001</c:v>
                </c:pt>
                <c:pt idx="58">
                  <c:v>1113.915</c:v>
                </c:pt>
                <c:pt idx="59">
                  <c:v>1188.2462499999999</c:v>
                </c:pt>
                <c:pt idx="60">
                  <c:v>1256.9512500000001</c:v>
                </c:pt>
                <c:pt idx="61">
                  <c:v>1257.9424999999999</c:v>
                </c:pt>
                <c:pt idx="62">
                  <c:v>1258.8975</c:v>
                </c:pt>
                <c:pt idx="63">
                  <c:v>1253.24</c:v>
                </c:pt>
                <c:pt idx="64">
                  <c:v>1249.2487500000002</c:v>
                </c:pt>
                <c:pt idx="65">
                  <c:v>1251.6149999999998</c:v>
                </c:pt>
                <c:pt idx="66">
                  <c:v>1252.1312500000001</c:v>
                </c:pt>
                <c:pt idx="67">
                  <c:v>1251.7800000000002</c:v>
                </c:pt>
                <c:pt idx="68">
                  <c:v>1250.6925000000001</c:v>
                </c:pt>
                <c:pt idx="69">
                  <c:v>1248.9512500000001</c:v>
                </c:pt>
                <c:pt idx="70">
                  <c:v>1250.3412499999999</c:v>
                </c:pt>
                <c:pt idx="71">
                  <c:v>1254.5275000000001</c:v>
                </c:pt>
                <c:pt idx="72">
                  <c:v>1259.7275</c:v>
                </c:pt>
                <c:pt idx="73">
                  <c:v>1259.6025</c:v>
                </c:pt>
                <c:pt idx="74">
                  <c:v>1259.9237499999997</c:v>
                </c:pt>
                <c:pt idx="75">
                  <c:v>1257.3412500000002</c:v>
                </c:pt>
                <c:pt idx="76">
                  <c:v>1260.0412500000002</c:v>
                </c:pt>
                <c:pt idx="77">
                  <c:v>1257.4812499999998</c:v>
                </c:pt>
                <c:pt idx="78">
                  <c:v>1256.0912499999999</c:v>
                </c:pt>
                <c:pt idx="79">
                  <c:v>1253.2424999999998</c:v>
                </c:pt>
                <c:pt idx="80">
                  <c:v>1248.6374999999998</c:v>
                </c:pt>
                <c:pt idx="81">
                  <c:v>1244.4299999999998</c:v>
                </c:pt>
                <c:pt idx="82">
                  <c:v>1241.9199999999998</c:v>
                </c:pt>
                <c:pt idx="83">
                  <c:v>1244.6675</c:v>
                </c:pt>
                <c:pt idx="84">
                  <c:v>1245.83125</c:v>
                </c:pt>
                <c:pt idx="85">
                  <c:v>1252.4625000000001</c:v>
                </c:pt>
                <c:pt idx="86">
                  <c:v>1253.54125</c:v>
                </c:pt>
                <c:pt idx="87">
                  <c:v>1255.1349999999998</c:v>
                </c:pt>
                <c:pt idx="88">
                  <c:v>1257.8549999999998</c:v>
                </c:pt>
                <c:pt idx="89">
                  <c:v>1259.2612499999998</c:v>
                </c:pt>
                <c:pt idx="90">
                  <c:v>1261.9049999999997</c:v>
                </c:pt>
                <c:pt idx="91">
                  <c:v>1260.6675</c:v>
                </c:pt>
                <c:pt idx="92">
                  <c:v>1256.885</c:v>
                </c:pt>
                <c:pt idx="93">
                  <c:v>1252.9824999999998</c:v>
                </c:pt>
                <c:pt idx="94">
                  <c:v>1253.3512499999999</c:v>
                </c:pt>
                <c:pt idx="95">
                  <c:v>1251.1737500000002</c:v>
                </c:pt>
                <c:pt idx="96">
                  <c:v>1249.6975</c:v>
                </c:pt>
                <c:pt idx="97">
                  <c:v>1247.7887499999999</c:v>
                </c:pt>
                <c:pt idx="98">
                  <c:v>1248.1612500000001</c:v>
                </c:pt>
                <c:pt idx="99">
                  <c:v>1248.9312500000001</c:v>
                </c:pt>
                <c:pt idx="100">
                  <c:v>1252.2974999999999</c:v>
                </c:pt>
                <c:pt idx="101">
                  <c:v>1252.7337499999999</c:v>
                </c:pt>
                <c:pt idx="102">
                  <c:v>1254.0862500000001</c:v>
                </c:pt>
                <c:pt idx="103">
                  <c:v>1256.4237499999999</c:v>
                </c:pt>
                <c:pt idx="104">
                  <c:v>1255.1675</c:v>
                </c:pt>
                <c:pt idx="105">
                  <c:v>1256.6725000000001</c:v>
                </c:pt>
                <c:pt idx="106">
                  <c:v>1258.125</c:v>
                </c:pt>
                <c:pt idx="107">
                  <c:v>1259.0912499999999</c:v>
                </c:pt>
                <c:pt idx="108">
                  <c:v>1256.5874999999999</c:v>
                </c:pt>
                <c:pt idx="109">
                  <c:v>1256.5074999999999</c:v>
                </c:pt>
                <c:pt idx="110">
                  <c:v>1253.4812499999998</c:v>
                </c:pt>
                <c:pt idx="111">
                  <c:v>1252.8287499999999</c:v>
                </c:pt>
                <c:pt idx="112">
                  <c:v>1254.33</c:v>
                </c:pt>
                <c:pt idx="113">
                  <c:v>1395.0074999999999</c:v>
                </c:pt>
                <c:pt idx="114">
                  <c:v>1532.4387500000003</c:v>
                </c:pt>
                <c:pt idx="115">
                  <c:v>1668.23125</c:v>
                </c:pt>
                <c:pt idx="116">
                  <c:v>1806.4837500000001</c:v>
                </c:pt>
                <c:pt idx="117">
                  <c:v>1945.4787499999998</c:v>
                </c:pt>
                <c:pt idx="118">
                  <c:v>2087.14</c:v>
                </c:pt>
                <c:pt idx="119">
                  <c:v>2223.6524999999997</c:v>
                </c:pt>
                <c:pt idx="120">
                  <c:v>2361.9024999999997</c:v>
                </c:pt>
                <c:pt idx="121">
                  <c:v>2361.1012500000006</c:v>
                </c:pt>
                <c:pt idx="122">
                  <c:v>2363.36375</c:v>
                </c:pt>
                <c:pt idx="123">
                  <c:v>2363.1012500000002</c:v>
                </c:pt>
                <c:pt idx="124">
                  <c:v>2365.2362499999999</c:v>
                </c:pt>
                <c:pt idx="125">
                  <c:v>2363.98</c:v>
                </c:pt>
                <c:pt idx="126">
                  <c:v>2364.38</c:v>
                </c:pt>
                <c:pt idx="127">
                  <c:v>2363.7799999999997</c:v>
                </c:pt>
                <c:pt idx="128">
                  <c:v>2366.2337499999999</c:v>
                </c:pt>
                <c:pt idx="129">
                  <c:v>2369.4787500000002</c:v>
                </c:pt>
                <c:pt idx="130">
                  <c:v>2367.6387500000001</c:v>
                </c:pt>
                <c:pt idx="131">
                  <c:v>2369.61625</c:v>
                </c:pt>
                <c:pt idx="132">
                  <c:v>2370.1837500000001</c:v>
                </c:pt>
                <c:pt idx="133">
                  <c:v>2373.3575000000001</c:v>
                </c:pt>
                <c:pt idx="134">
                  <c:v>2371.81</c:v>
                </c:pt>
                <c:pt idx="135">
                  <c:v>2373.6</c:v>
                </c:pt>
                <c:pt idx="136">
                  <c:v>2370.0887499999999</c:v>
                </c:pt>
                <c:pt idx="137">
                  <c:v>2366.0674999999997</c:v>
                </c:pt>
                <c:pt idx="138">
                  <c:v>2364.6062499999998</c:v>
                </c:pt>
                <c:pt idx="139">
                  <c:v>2366.1849999999999</c:v>
                </c:pt>
                <c:pt idx="140">
                  <c:v>2365.0562499999996</c:v>
                </c:pt>
                <c:pt idx="141">
                  <c:v>2364.3862500000005</c:v>
                </c:pt>
                <c:pt idx="142">
                  <c:v>2367.0425</c:v>
                </c:pt>
                <c:pt idx="143">
                  <c:v>2367.3074999999999</c:v>
                </c:pt>
                <c:pt idx="144">
                  <c:v>2368.5262500000003</c:v>
                </c:pt>
                <c:pt idx="145">
                  <c:v>2367.3562499999998</c:v>
                </c:pt>
                <c:pt idx="146">
                  <c:v>2369.17</c:v>
                </c:pt>
                <c:pt idx="147">
                  <c:v>2367.2162499999999</c:v>
                </c:pt>
                <c:pt idx="148">
                  <c:v>2369.9100000000003</c:v>
                </c:pt>
                <c:pt idx="149">
                  <c:v>2370.0324999999998</c:v>
                </c:pt>
                <c:pt idx="150">
                  <c:v>2367.4612499999998</c:v>
                </c:pt>
                <c:pt idx="151">
                  <c:v>2366.8012499999995</c:v>
                </c:pt>
                <c:pt idx="152">
                  <c:v>2368.3537500000002</c:v>
                </c:pt>
                <c:pt idx="153">
                  <c:v>2371.7725</c:v>
                </c:pt>
                <c:pt idx="154">
                  <c:v>2371.6549999999997</c:v>
                </c:pt>
                <c:pt idx="155">
                  <c:v>2371.2624999999998</c:v>
                </c:pt>
                <c:pt idx="156">
                  <c:v>2372.1075000000001</c:v>
                </c:pt>
                <c:pt idx="157">
                  <c:v>2371.8762500000003</c:v>
                </c:pt>
                <c:pt idx="158">
                  <c:v>2372.0925000000002</c:v>
                </c:pt>
                <c:pt idx="159">
                  <c:v>2373.7012500000001</c:v>
                </c:pt>
                <c:pt idx="160">
                  <c:v>2373.4537499999997</c:v>
                </c:pt>
                <c:pt idx="161">
                  <c:v>2374.0687499999999</c:v>
                </c:pt>
                <c:pt idx="162">
                  <c:v>2375.085</c:v>
                </c:pt>
                <c:pt idx="163">
                  <c:v>2374.1224999999999</c:v>
                </c:pt>
                <c:pt idx="164">
                  <c:v>2371.5762500000001</c:v>
                </c:pt>
                <c:pt idx="165">
                  <c:v>2370.6775000000002</c:v>
                </c:pt>
                <c:pt idx="166">
                  <c:v>2369.0175000000004</c:v>
                </c:pt>
                <c:pt idx="167">
                  <c:v>2369.3724999999999</c:v>
                </c:pt>
                <c:pt idx="168">
                  <c:v>2368.9250000000002</c:v>
                </c:pt>
                <c:pt idx="169">
                  <c:v>2366.8999999999996</c:v>
                </c:pt>
                <c:pt idx="170">
                  <c:v>2364.9700000000003</c:v>
                </c:pt>
                <c:pt idx="171">
                  <c:v>2366.8912499999997</c:v>
                </c:pt>
                <c:pt idx="172">
                  <c:v>2365.5324999999993</c:v>
                </c:pt>
                <c:pt idx="173">
                  <c:v>2432.2624999999998</c:v>
                </c:pt>
                <c:pt idx="174">
                  <c:v>2501.6324999999997</c:v>
                </c:pt>
                <c:pt idx="175">
                  <c:v>2566.0837499999998</c:v>
                </c:pt>
                <c:pt idx="176">
                  <c:v>2628.2937499999998</c:v>
                </c:pt>
                <c:pt idx="177">
                  <c:v>2698.1075000000001</c:v>
                </c:pt>
                <c:pt idx="178">
                  <c:v>2762.9737500000001</c:v>
                </c:pt>
                <c:pt idx="179">
                  <c:v>2827.1150000000002</c:v>
                </c:pt>
                <c:pt idx="180">
                  <c:v>2892.8825000000002</c:v>
                </c:pt>
                <c:pt idx="181">
                  <c:v>2891.4875000000002</c:v>
                </c:pt>
                <c:pt idx="182">
                  <c:v>2891.7362499999999</c:v>
                </c:pt>
                <c:pt idx="183">
                  <c:v>2892.67875</c:v>
                </c:pt>
                <c:pt idx="184">
                  <c:v>2895.3537500000002</c:v>
                </c:pt>
                <c:pt idx="185">
                  <c:v>2891.6499999999996</c:v>
                </c:pt>
                <c:pt idx="186">
                  <c:v>2891.4112500000001</c:v>
                </c:pt>
                <c:pt idx="187">
                  <c:v>2892.0787499999997</c:v>
                </c:pt>
                <c:pt idx="188">
                  <c:v>2892.0887499999999</c:v>
                </c:pt>
                <c:pt idx="189">
                  <c:v>2891.4049999999997</c:v>
                </c:pt>
                <c:pt idx="190">
                  <c:v>2888.8787500000003</c:v>
                </c:pt>
                <c:pt idx="191">
                  <c:v>2888.7699999999995</c:v>
                </c:pt>
                <c:pt idx="192">
                  <c:v>2889.88625</c:v>
                </c:pt>
                <c:pt idx="193">
                  <c:v>2887.9187500000003</c:v>
                </c:pt>
                <c:pt idx="194">
                  <c:v>2891.3062500000001</c:v>
                </c:pt>
                <c:pt idx="195">
                  <c:v>2892.7212500000001</c:v>
                </c:pt>
                <c:pt idx="196">
                  <c:v>2894.3287499999997</c:v>
                </c:pt>
                <c:pt idx="197">
                  <c:v>2893.64</c:v>
                </c:pt>
                <c:pt idx="198">
                  <c:v>2890.4274999999998</c:v>
                </c:pt>
                <c:pt idx="199">
                  <c:v>2889.4112500000001</c:v>
                </c:pt>
                <c:pt idx="200">
                  <c:v>2888.0612500000002</c:v>
                </c:pt>
                <c:pt idx="201">
                  <c:v>2888.6675</c:v>
                </c:pt>
                <c:pt idx="202">
                  <c:v>2883.51125</c:v>
                </c:pt>
                <c:pt idx="203">
                  <c:v>2885.9162500000002</c:v>
                </c:pt>
                <c:pt idx="204">
                  <c:v>2886.4049999999997</c:v>
                </c:pt>
                <c:pt idx="205">
                  <c:v>2886.0387499999997</c:v>
                </c:pt>
                <c:pt idx="206">
                  <c:v>2890.0912499999999</c:v>
                </c:pt>
                <c:pt idx="207">
                  <c:v>2889.0237499999998</c:v>
                </c:pt>
                <c:pt idx="208">
                  <c:v>2888.3449999999998</c:v>
                </c:pt>
                <c:pt idx="209">
                  <c:v>2886.0287499999999</c:v>
                </c:pt>
                <c:pt idx="210">
                  <c:v>2886.9387499999998</c:v>
                </c:pt>
                <c:pt idx="211">
                  <c:v>2883.6025</c:v>
                </c:pt>
                <c:pt idx="212">
                  <c:v>2881.0874999999996</c:v>
                </c:pt>
                <c:pt idx="213">
                  <c:v>2881.3437499999995</c:v>
                </c:pt>
                <c:pt idx="214">
                  <c:v>2879.6824999999994</c:v>
                </c:pt>
                <c:pt idx="215">
                  <c:v>2884.7887500000002</c:v>
                </c:pt>
                <c:pt idx="216">
                  <c:v>2885.3500000000004</c:v>
                </c:pt>
                <c:pt idx="217">
                  <c:v>2889.1037500000002</c:v>
                </c:pt>
                <c:pt idx="218">
                  <c:v>2891.3924999999999</c:v>
                </c:pt>
                <c:pt idx="219">
                  <c:v>2892.6462500000002</c:v>
                </c:pt>
                <c:pt idx="220">
                  <c:v>2892.6687499999998</c:v>
                </c:pt>
                <c:pt idx="221">
                  <c:v>2892.2824999999998</c:v>
                </c:pt>
                <c:pt idx="222">
                  <c:v>2892.2787499999999</c:v>
                </c:pt>
                <c:pt idx="223">
                  <c:v>2889.9124999999999</c:v>
                </c:pt>
                <c:pt idx="224">
                  <c:v>2889.1525000000001</c:v>
                </c:pt>
                <c:pt idx="225">
                  <c:v>2888.5074999999997</c:v>
                </c:pt>
                <c:pt idx="226">
                  <c:v>2886.4349999999999</c:v>
                </c:pt>
                <c:pt idx="227">
                  <c:v>2888.06</c:v>
                </c:pt>
                <c:pt idx="228">
                  <c:v>2886.7037499999997</c:v>
                </c:pt>
                <c:pt idx="229">
                  <c:v>2885.2574999999997</c:v>
                </c:pt>
                <c:pt idx="230">
                  <c:v>2884.9712499999996</c:v>
                </c:pt>
                <c:pt idx="231">
                  <c:v>2885.3775000000001</c:v>
                </c:pt>
                <c:pt idx="232">
                  <c:v>2886.2537500000003</c:v>
                </c:pt>
                <c:pt idx="233">
                  <c:v>2767.7500000000005</c:v>
                </c:pt>
                <c:pt idx="234">
                  <c:v>2653.1737500000004</c:v>
                </c:pt>
                <c:pt idx="235">
                  <c:v>2536.6937500000004</c:v>
                </c:pt>
                <c:pt idx="236">
                  <c:v>2423.8099999999995</c:v>
                </c:pt>
                <c:pt idx="237">
                  <c:v>2309.9037499999999</c:v>
                </c:pt>
                <c:pt idx="238">
                  <c:v>2194.0700000000002</c:v>
                </c:pt>
                <c:pt idx="239">
                  <c:v>2072.86375</c:v>
                </c:pt>
                <c:pt idx="240">
                  <c:v>1955.4549999999999</c:v>
                </c:pt>
                <c:pt idx="241">
                  <c:v>1957.3924999999999</c:v>
                </c:pt>
                <c:pt idx="242">
                  <c:v>1957.0737500000002</c:v>
                </c:pt>
                <c:pt idx="243">
                  <c:v>1954.1237500000002</c:v>
                </c:pt>
                <c:pt idx="244">
                  <c:v>1952.4312500000001</c:v>
                </c:pt>
                <c:pt idx="245">
                  <c:v>1951.8875</c:v>
                </c:pt>
                <c:pt idx="246">
                  <c:v>1951.0550000000001</c:v>
                </c:pt>
                <c:pt idx="247">
                  <c:v>1955.21</c:v>
                </c:pt>
                <c:pt idx="248">
                  <c:v>1955.13375</c:v>
                </c:pt>
                <c:pt idx="249">
                  <c:v>1952.80375</c:v>
                </c:pt>
                <c:pt idx="250">
                  <c:v>1951.4349999999999</c:v>
                </c:pt>
                <c:pt idx="251">
                  <c:v>1953.1537499999999</c:v>
                </c:pt>
                <c:pt idx="252">
                  <c:v>1953.2112499999998</c:v>
                </c:pt>
                <c:pt idx="253">
                  <c:v>1953.7799999999997</c:v>
                </c:pt>
                <c:pt idx="254">
                  <c:v>1955.94</c:v>
                </c:pt>
                <c:pt idx="255">
                  <c:v>1955.03</c:v>
                </c:pt>
                <c:pt idx="256">
                  <c:v>1954.7237500000001</c:v>
                </c:pt>
                <c:pt idx="257">
                  <c:v>1957.24125</c:v>
                </c:pt>
                <c:pt idx="258">
                  <c:v>1956.4637499999999</c:v>
                </c:pt>
                <c:pt idx="259">
                  <c:v>1954.8712500000001</c:v>
                </c:pt>
                <c:pt idx="260">
                  <c:v>1953.4850000000001</c:v>
                </c:pt>
                <c:pt idx="261">
                  <c:v>1954.8775000000001</c:v>
                </c:pt>
                <c:pt idx="262">
                  <c:v>1953.0350000000001</c:v>
                </c:pt>
                <c:pt idx="263">
                  <c:v>1953.9012499999999</c:v>
                </c:pt>
                <c:pt idx="264">
                  <c:v>1951.9712500000001</c:v>
                </c:pt>
                <c:pt idx="265">
                  <c:v>1955.57125</c:v>
                </c:pt>
                <c:pt idx="266">
                  <c:v>1955.6400000000003</c:v>
                </c:pt>
                <c:pt idx="267">
                  <c:v>1955.21875</c:v>
                </c:pt>
                <c:pt idx="268">
                  <c:v>1958.3999999999999</c:v>
                </c:pt>
                <c:pt idx="269">
                  <c:v>1957.2925</c:v>
                </c:pt>
                <c:pt idx="270">
                  <c:v>1957.8674999999998</c:v>
                </c:pt>
                <c:pt idx="271">
                  <c:v>1955.2149999999999</c:v>
                </c:pt>
                <c:pt idx="272">
                  <c:v>1959.9012499999999</c:v>
                </c:pt>
                <c:pt idx="273">
                  <c:v>1957.5274999999999</c:v>
                </c:pt>
                <c:pt idx="274">
                  <c:v>1958.5</c:v>
                </c:pt>
                <c:pt idx="275">
                  <c:v>1958.7950000000003</c:v>
                </c:pt>
                <c:pt idx="276">
                  <c:v>1957.9362500000002</c:v>
                </c:pt>
                <c:pt idx="277">
                  <c:v>1957.4675000000002</c:v>
                </c:pt>
                <c:pt idx="278">
                  <c:v>1957.4137500000002</c:v>
                </c:pt>
                <c:pt idx="279">
                  <c:v>1956.1450000000002</c:v>
                </c:pt>
                <c:pt idx="280">
                  <c:v>1954.6499999999999</c:v>
                </c:pt>
                <c:pt idx="281">
                  <c:v>1952.8362500000001</c:v>
                </c:pt>
                <c:pt idx="282">
                  <c:v>1954.0862500000001</c:v>
                </c:pt>
                <c:pt idx="283">
                  <c:v>1954.7574999999999</c:v>
                </c:pt>
                <c:pt idx="284">
                  <c:v>1950.3487499999999</c:v>
                </c:pt>
                <c:pt idx="285">
                  <c:v>1950.7624999999998</c:v>
                </c:pt>
                <c:pt idx="286">
                  <c:v>1949.6212499999999</c:v>
                </c:pt>
                <c:pt idx="287">
                  <c:v>1951.26125</c:v>
                </c:pt>
                <c:pt idx="288">
                  <c:v>1948.7775000000001</c:v>
                </c:pt>
                <c:pt idx="289">
                  <c:v>1952.1750000000002</c:v>
                </c:pt>
                <c:pt idx="290">
                  <c:v>1950.8175000000003</c:v>
                </c:pt>
                <c:pt idx="291">
                  <c:v>1948.385</c:v>
                </c:pt>
                <c:pt idx="292">
                  <c:v>1950.9775</c:v>
                </c:pt>
                <c:pt idx="293">
                  <c:v>1950.6071428571429</c:v>
                </c:pt>
                <c:pt idx="294">
                  <c:v>1950.7949999999998</c:v>
                </c:pt>
                <c:pt idx="295">
                  <c:v>1951.3799999999999</c:v>
                </c:pt>
                <c:pt idx="296">
                  <c:v>1954.2774999999999</c:v>
                </c:pt>
                <c:pt idx="297">
                  <c:v>1945.8333333333333</c:v>
                </c:pt>
                <c:pt idx="298">
                  <c:v>1942.7550000000001</c:v>
                </c:pt>
                <c:pt idx="299">
                  <c:v>1945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6-4E10-AB57-C246E93CD689}"/>
            </c:ext>
          </c:extLst>
        </c:ser>
        <c:ser>
          <c:idx val="2"/>
          <c:order val="2"/>
          <c:tx>
            <c:v>14 day moving avg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Sheet1!$A$2:$A$301</c:f>
              <c:strCache>
                <c:ptCount val="300"/>
                <c:pt idx="0">
                  <c:v>2025-05-29</c:v>
                </c:pt>
                <c:pt idx="1">
                  <c:v>2025-05-28</c:v>
                </c:pt>
                <c:pt idx="2">
                  <c:v>2025-05-27</c:v>
                </c:pt>
                <c:pt idx="3">
                  <c:v>2025-05-26</c:v>
                </c:pt>
                <c:pt idx="4">
                  <c:v>2025-05-23</c:v>
                </c:pt>
                <c:pt idx="5">
                  <c:v>2025-05-22</c:v>
                </c:pt>
                <c:pt idx="6">
                  <c:v>2025-05-21</c:v>
                </c:pt>
                <c:pt idx="7">
                  <c:v>2025-05-20</c:v>
                </c:pt>
                <c:pt idx="8">
                  <c:v>2025-05-19</c:v>
                </c:pt>
                <c:pt idx="9">
                  <c:v>2025-05-16</c:v>
                </c:pt>
                <c:pt idx="10">
                  <c:v>2025-05-15</c:v>
                </c:pt>
                <c:pt idx="11">
                  <c:v>2025-05-14</c:v>
                </c:pt>
                <c:pt idx="12">
                  <c:v>2025-05-13</c:v>
                </c:pt>
                <c:pt idx="13">
                  <c:v>2025-05-12</c:v>
                </c:pt>
                <c:pt idx="14">
                  <c:v>2025-05-09</c:v>
                </c:pt>
                <c:pt idx="15">
                  <c:v>2025-05-08</c:v>
                </c:pt>
                <c:pt idx="16">
                  <c:v>2025-05-07</c:v>
                </c:pt>
                <c:pt idx="17">
                  <c:v>2025-05-06</c:v>
                </c:pt>
                <c:pt idx="18">
                  <c:v>2025-05-05</c:v>
                </c:pt>
                <c:pt idx="19">
                  <c:v>2025-05-02</c:v>
                </c:pt>
                <c:pt idx="20">
                  <c:v>2025-05-01</c:v>
                </c:pt>
                <c:pt idx="21">
                  <c:v>2025-04-30</c:v>
                </c:pt>
                <c:pt idx="22">
                  <c:v>2025-04-29</c:v>
                </c:pt>
                <c:pt idx="23">
                  <c:v>2025-04-28</c:v>
                </c:pt>
                <c:pt idx="24">
                  <c:v>2025-04-25</c:v>
                </c:pt>
                <c:pt idx="25">
                  <c:v>2025-04-24</c:v>
                </c:pt>
                <c:pt idx="26">
                  <c:v>2025-04-23</c:v>
                </c:pt>
                <c:pt idx="27">
                  <c:v>2025-04-22</c:v>
                </c:pt>
                <c:pt idx="28">
                  <c:v>2025-04-21</c:v>
                </c:pt>
                <c:pt idx="29">
                  <c:v>2025-04-18</c:v>
                </c:pt>
                <c:pt idx="30">
                  <c:v>2025-04-17</c:v>
                </c:pt>
                <c:pt idx="31">
                  <c:v>2025-04-16</c:v>
                </c:pt>
                <c:pt idx="32">
                  <c:v>2025-04-15</c:v>
                </c:pt>
                <c:pt idx="33">
                  <c:v>2025-04-14</c:v>
                </c:pt>
                <c:pt idx="34">
                  <c:v>2025-04-11</c:v>
                </c:pt>
                <c:pt idx="35">
                  <c:v>2025-04-10</c:v>
                </c:pt>
                <c:pt idx="36">
                  <c:v>2025-04-09</c:v>
                </c:pt>
                <c:pt idx="37">
                  <c:v>2025-04-08</c:v>
                </c:pt>
                <c:pt idx="38">
                  <c:v>2025-04-07</c:v>
                </c:pt>
                <c:pt idx="39">
                  <c:v>2025-04-04</c:v>
                </c:pt>
                <c:pt idx="40">
                  <c:v>2025-04-03</c:v>
                </c:pt>
                <c:pt idx="41">
                  <c:v>2025-04-02</c:v>
                </c:pt>
                <c:pt idx="42">
                  <c:v>2025-04-01</c:v>
                </c:pt>
                <c:pt idx="43">
                  <c:v>2025-03-31</c:v>
                </c:pt>
                <c:pt idx="44">
                  <c:v>2025-03-28</c:v>
                </c:pt>
                <c:pt idx="45">
                  <c:v>2025-03-27</c:v>
                </c:pt>
                <c:pt idx="46">
                  <c:v>2025-03-26</c:v>
                </c:pt>
                <c:pt idx="47">
                  <c:v>2025-03-25</c:v>
                </c:pt>
                <c:pt idx="48">
                  <c:v>2025-03-24</c:v>
                </c:pt>
                <c:pt idx="49">
                  <c:v>2025-03-21</c:v>
                </c:pt>
                <c:pt idx="50">
                  <c:v>2025-03-20</c:v>
                </c:pt>
                <c:pt idx="51">
                  <c:v>2025-03-19</c:v>
                </c:pt>
                <c:pt idx="52">
                  <c:v>2025-03-18</c:v>
                </c:pt>
                <c:pt idx="53">
                  <c:v>2025-03-17</c:v>
                </c:pt>
                <c:pt idx="54">
                  <c:v>2025-03-14</c:v>
                </c:pt>
                <c:pt idx="55">
                  <c:v>2025-03-13</c:v>
                </c:pt>
                <c:pt idx="56">
                  <c:v>2025-03-12</c:v>
                </c:pt>
                <c:pt idx="57">
                  <c:v>2025-03-11</c:v>
                </c:pt>
                <c:pt idx="58">
                  <c:v>2025-03-10</c:v>
                </c:pt>
                <c:pt idx="59">
                  <c:v>2025-03-07</c:v>
                </c:pt>
                <c:pt idx="60">
                  <c:v>2025-05-29</c:v>
                </c:pt>
                <c:pt idx="61">
                  <c:v>2025-05-28</c:v>
                </c:pt>
                <c:pt idx="62">
                  <c:v>2025-05-27</c:v>
                </c:pt>
                <c:pt idx="63">
                  <c:v>2025-05-26</c:v>
                </c:pt>
                <c:pt idx="64">
                  <c:v>2025-05-23</c:v>
                </c:pt>
                <c:pt idx="65">
                  <c:v>2025-05-22</c:v>
                </c:pt>
                <c:pt idx="66">
                  <c:v>2025-05-21</c:v>
                </c:pt>
                <c:pt idx="67">
                  <c:v>2025-05-20</c:v>
                </c:pt>
                <c:pt idx="68">
                  <c:v>2025-05-19</c:v>
                </c:pt>
                <c:pt idx="69">
                  <c:v>2025-05-16</c:v>
                </c:pt>
                <c:pt idx="70">
                  <c:v>2025-05-15</c:v>
                </c:pt>
                <c:pt idx="71">
                  <c:v>2025-05-14</c:v>
                </c:pt>
                <c:pt idx="72">
                  <c:v>2025-05-13</c:v>
                </c:pt>
                <c:pt idx="73">
                  <c:v>2025-05-12</c:v>
                </c:pt>
                <c:pt idx="74">
                  <c:v>2025-05-09</c:v>
                </c:pt>
                <c:pt idx="75">
                  <c:v>2025-05-08</c:v>
                </c:pt>
                <c:pt idx="76">
                  <c:v>2025-05-07</c:v>
                </c:pt>
                <c:pt idx="77">
                  <c:v>2025-05-06</c:v>
                </c:pt>
                <c:pt idx="78">
                  <c:v>2025-05-05</c:v>
                </c:pt>
                <c:pt idx="79">
                  <c:v>2025-05-02</c:v>
                </c:pt>
                <c:pt idx="80">
                  <c:v>2025-05-01</c:v>
                </c:pt>
                <c:pt idx="81">
                  <c:v>2025-04-30</c:v>
                </c:pt>
                <c:pt idx="82">
                  <c:v>2025-04-29</c:v>
                </c:pt>
                <c:pt idx="83">
                  <c:v>2025-04-28</c:v>
                </c:pt>
                <c:pt idx="84">
                  <c:v>2025-04-25</c:v>
                </c:pt>
                <c:pt idx="85">
                  <c:v>2025-04-24</c:v>
                </c:pt>
                <c:pt idx="86">
                  <c:v>2025-04-23</c:v>
                </c:pt>
                <c:pt idx="87">
                  <c:v>2025-04-22</c:v>
                </c:pt>
                <c:pt idx="88">
                  <c:v>2025-04-21</c:v>
                </c:pt>
                <c:pt idx="89">
                  <c:v>2025-04-18</c:v>
                </c:pt>
                <c:pt idx="90">
                  <c:v>2025-04-17</c:v>
                </c:pt>
                <c:pt idx="91">
                  <c:v>2025-04-16</c:v>
                </c:pt>
                <c:pt idx="92">
                  <c:v>2025-04-15</c:v>
                </c:pt>
                <c:pt idx="93">
                  <c:v>2025-04-14</c:v>
                </c:pt>
                <c:pt idx="94">
                  <c:v>2025-04-11</c:v>
                </c:pt>
                <c:pt idx="95">
                  <c:v>2025-04-10</c:v>
                </c:pt>
                <c:pt idx="96">
                  <c:v>2025-04-09</c:v>
                </c:pt>
                <c:pt idx="97">
                  <c:v>2025-04-08</c:v>
                </c:pt>
                <c:pt idx="98">
                  <c:v>2025-04-07</c:v>
                </c:pt>
                <c:pt idx="99">
                  <c:v>2025-04-04</c:v>
                </c:pt>
                <c:pt idx="100">
                  <c:v>2025-04-03</c:v>
                </c:pt>
                <c:pt idx="101">
                  <c:v>2025-04-02</c:v>
                </c:pt>
                <c:pt idx="102">
                  <c:v>2025-04-01</c:v>
                </c:pt>
                <c:pt idx="103">
                  <c:v>2025-03-31</c:v>
                </c:pt>
                <c:pt idx="104">
                  <c:v>2025-03-28</c:v>
                </c:pt>
                <c:pt idx="105">
                  <c:v>2025-03-27</c:v>
                </c:pt>
                <c:pt idx="106">
                  <c:v>2025-03-26</c:v>
                </c:pt>
                <c:pt idx="107">
                  <c:v>2025-03-25</c:v>
                </c:pt>
                <c:pt idx="108">
                  <c:v>2025-03-24</c:v>
                </c:pt>
                <c:pt idx="109">
                  <c:v>2025-03-21</c:v>
                </c:pt>
                <c:pt idx="110">
                  <c:v>2025-03-20</c:v>
                </c:pt>
                <c:pt idx="111">
                  <c:v>2025-03-19</c:v>
                </c:pt>
                <c:pt idx="112">
                  <c:v>2025-03-18</c:v>
                </c:pt>
                <c:pt idx="113">
                  <c:v>2025-03-17</c:v>
                </c:pt>
                <c:pt idx="114">
                  <c:v>2025-03-14</c:v>
                </c:pt>
                <c:pt idx="115">
                  <c:v>2025-03-13</c:v>
                </c:pt>
                <c:pt idx="116">
                  <c:v>2025-03-12</c:v>
                </c:pt>
                <c:pt idx="117">
                  <c:v>2025-03-11</c:v>
                </c:pt>
                <c:pt idx="118">
                  <c:v>2025-03-10</c:v>
                </c:pt>
                <c:pt idx="119">
                  <c:v>2025-03-07</c:v>
                </c:pt>
                <c:pt idx="120">
                  <c:v>2025-05-29</c:v>
                </c:pt>
                <c:pt idx="121">
                  <c:v>2025-05-28</c:v>
                </c:pt>
                <c:pt idx="122">
                  <c:v>2025-05-27</c:v>
                </c:pt>
                <c:pt idx="123">
                  <c:v>2025-05-26</c:v>
                </c:pt>
                <c:pt idx="124">
                  <c:v>2025-05-23</c:v>
                </c:pt>
                <c:pt idx="125">
                  <c:v>2025-05-22</c:v>
                </c:pt>
                <c:pt idx="126">
                  <c:v>2025-05-21</c:v>
                </c:pt>
                <c:pt idx="127">
                  <c:v>2025-05-20</c:v>
                </c:pt>
                <c:pt idx="128">
                  <c:v>2025-05-19</c:v>
                </c:pt>
                <c:pt idx="129">
                  <c:v>2025-05-16</c:v>
                </c:pt>
                <c:pt idx="130">
                  <c:v>2025-05-15</c:v>
                </c:pt>
                <c:pt idx="131">
                  <c:v>2025-05-14</c:v>
                </c:pt>
                <c:pt idx="132">
                  <c:v>2025-05-13</c:v>
                </c:pt>
                <c:pt idx="133">
                  <c:v>2025-05-12</c:v>
                </c:pt>
                <c:pt idx="134">
                  <c:v>2025-05-09</c:v>
                </c:pt>
                <c:pt idx="135">
                  <c:v>2025-05-08</c:v>
                </c:pt>
                <c:pt idx="136">
                  <c:v>2025-05-07</c:v>
                </c:pt>
                <c:pt idx="137">
                  <c:v>2025-05-06</c:v>
                </c:pt>
                <c:pt idx="138">
                  <c:v>2025-05-05</c:v>
                </c:pt>
                <c:pt idx="139">
                  <c:v>2025-05-02</c:v>
                </c:pt>
                <c:pt idx="140">
                  <c:v>2025-05-01</c:v>
                </c:pt>
                <c:pt idx="141">
                  <c:v>2025-04-30</c:v>
                </c:pt>
                <c:pt idx="142">
                  <c:v>2025-04-29</c:v>
                </c:pt>
                <c:pt idx="143">
                  <c:v>2025-04-28</c:v>
                </c:pt>
                <c:pt idx="144">
                  <c:v>2025-04-25</c:v>
                </c:pt>
                <c:pt idx="145">
                  <c:v>2025-04-24</c:v>
                </c:pt>
                <c:pt idx="146">
                  <c:v>2025-04-23</c:v>
                </c:pt>
                <c:pt idx="147">
                  <c:v>2025-04-22</c:v>
                </c:pt>
                <c:pt idx="148">
                  <c:v>2025-04-21</c:v>
                </c:pt>
                <c:pt idx="149">
                  <c:v>2025-04-18</c:v>
                </c:pt>
                <c:pt idx="150">
                  <c:v>2025-04-17</c:v>
                </c:pt>
                <c:pt idx="151">
                  <c:v>2025-04-16</c:v>
                </c:pt>
                <c:pt idx="152">
                  <c:v>2025-04-15</c:v>
                </c:pt>
                <c:pt idx="153">
                  <c:v>2025-04-14</c:v>
                </c:pt>
                <c:pt idx="154">
                  <c:v>2025-04-11</c:v>
                </c:pt>
                <c:pt idx="155">
                  <c:v>2025-04-10</c:v>
                </c:pt>
                <c:pt idx="156">
                  <c:v>2025-04-09</c:v>
                </c:pt>
                <c:pt idx="157">
                  <c:v>2025-04-08</c:v>
                </c:pt>
                <c:pt idx="158">
                  <c:v>2025-04-07</c:v>
                </c:pt>
                <c:pt idx="159">
                  <c:v>2025-04-04</c:v>
                </c:pt>
                <c:pt idx="160">
                  <c:v>2025-04-03</c:v>
                </c:pt>
                <c:pt idx="161">
                  <c:v>2025-04-02</c:v>
                </c:pt>
                <c:pt idx="162">
                  <c:v>2025-04-01</c:v>
                </c:pt>
                <c:pt idx="163">
                  <c:v>2025-03-31</c:v>
                </c:pt>
                <c:pt idx="164">
                  <c:v>2025-03-28</c:v>
                </c:pt>
                <c:pt idx="165">
                  <c:v>2025-03-27</c:v>
                </c:pt>
                <c:pt idx="166">
                  <c:v>2025-03-26</c:v>
                </c:pt>
                <c:pt idx="167">
                  <c:v>2025-03-25</c:v>
                </c:pt>
                <c:pt idx="168">
                  <c:v>2025-03-24</c:v>
                </c:pt>
                <c:pt idx="169">
                  <c:v>2025-03-21</c:v>
                </c:pt>
                <c:pt idx="170">
                  <c:v>2025-03-20</c:v>
                </c:pt>
                <c:pt idx="171">
                  <c:v>2025-03-19</c:v>
                </c:pt>
                <c:pt idx="172">
                  <c:v>2025-03-18</c:v>
                </c:pt>
                <c:pt idx="173">
                  <c:v>2025-03-17</c:v>
                </c:pt>
                <c:pt idx="174">
                  <c:v>2025-03-14</c:v>
                </c:pt>
                <c:pt idx="175">
                  <c:v>2025-03-13</c:v>
                </c:pt>
                <c:pt idx="176">
                  <c:v>2025-03-12</c:v>
                </c:pt>
                <c:pt idx="177">
                  <c:v>2025-03-11</c:v>
                </c:pt>
                <c:pt idx="178">
                  <c:v>2025-03-10</c:v>
                </c:pt>
                <c:pt idx="179">
                  <c:v>2025-03-07</c:v>
                </c:pt>
                <c:pt idx="180">
                  <c:v>2025-05-29</c:v>
                </c:pt>
                <c:pt idx="181">
                  <c:v>2025-05-28</c:v>
                </c:pt>
                <c:pt idx="182">
                  <c:v>2025-05-27</c:v>
                </c:pt>
                <c:pt idx="183">
                  <c:v>2025-05-26</c:v>
                </c:pt>
                <c:pt idx="184">
                  <c:v>2025-05-23</c:v>
                </c:pt>
                <c:pt idx="185">
                  <c:v>2025-05-22</c:v>
                </c:pt>
                <c:pt idx="186">
                  <c:v>2025-05-21</c:v>
                </c:pt>
                <c:pt idx="187">
                  <c:v>2025-05-20</c:v>
                </c:pt>
                <c:pt idx="188">
                  <c:v>2025-05-19</c:v>
                </c:pt>
                <c:pt idx="189">
                  <c:v>2025-05-16</c:v>
                </c:pt>
                <c:pt idx="190">
                  <c:v>2025-05-15</c:v>
                </c:pt>
                <c:pt idx="191">
                  <c:v>2025-05-14</c:v>
                </c:pt>
                <c:pt idx="192">
                  <c:v>2025-05-13</c:v>
                </c:pt>
                <c:pt idx="193">
                  <c:v>2025-05-12</c:v>
                </c:pt>
                <c:pt idx="194">
                  <c:v>2025-05-09</c:v>
                </c:pt>
                <c:pt idx="195">
                  <c:v>2025-05-08</c:v>
                </c:pt>
                <c:pt idx="196">
                  <c:v>2025-05-07</c:v>
                </c:pt>
                <c:pt idx="197">
                  <c:v>2025-05-06</c:v>
                </c:pt>
                <c:pt idx="198">
                  <c:v>2025-05-05</c:v>
                </c:pt>
                <c:pt idx="199">
                  <c:v>2025-05-02</c:v>
                </c:pt>
                <c:pt idx="200">
                  <c:v>2025-05-01</c:v>
                </c:pt>
                <c:pt idx="201">
                  <c:v>2025-04-30</c:v>
                </c:pt>
                <c:pt idx="202">
                  <c:v>2025-04-29</c:v>
                </c:pt>
                <c:pt idx="203">
                  <c:v>2025-04-28</c:v>
                </c:pt>
                <c:pt idx="204">
                  <c:v>2025-04-25</c:v>
                </c:pt>
                <c:pt idx="205">
                  <c:v>2025-04-24</c:v>
                </c:pt>
                <c:pt idx="206">
                  <c:v>2025-04-23</c:v>
                </c:pt>
                <c:pt idx="207">
                  <c:v>2025-04-22</c:v>
                </c:pt>
                <c:pt idx="208">
                  <c:v>2025-04-21</c:v>
                </c:pt>
                <c:pt idx="209">
                  <c:v>2025-04-18</c:v>
                </c:pt>
                <c:pt idx="210">
                  <c:v>2025-04-17</c:v>
                </c:pt>
                <c:pt idx="211">
                  <c:v>2025-04-16</c:v>
                </c:pt>
                <c:pt idx="212">
                  <c:v>2025-04-15</c:v>
                </c:pt>
                <c:pt idx="213">
                  <c:v>2025-04-14</c:v>
                </c:pt>
                <c:pt idx="214">
                  <c:v>2025-04-11</c:v>
                </c:pt>
                <c:pt idx="215">
                  <c:v>2025-04-10</c:v>
                </c:pt>
                <c:pt idx="216">
                  <c:v>2025-04-09</c:v>
                </c:pt>
                <c:pt idx="217">
                  <c:v>2025-04-08</c:v>
                </c:pt>
                <c:pt idx="218">
                  <c:v>2025-04-07</c:v>
                </c:pt>
                <c:pt idx="219">
                  <c:v>2025-04-04</c:v>
                </c:pt>
                <c:pt idx="220">
                  <c:v>2025-04-03</c:v>
                </c:pt>
                <c:pt idx="221">
                  <c:v>2025-04-02</c:v>
                </c:pt>
                <c:pt idx="222">
                  <c:v>2025-04-01</c:v>
                </c:pt>
                <c:pt idx="223">
                  <c:v>2025-03-31</c:v>
                </c:pt>
                <c:pt idx="224">
                  <c:v>2025-03-28</c:v>
                </c:pt>
                <c:pt idx="225">
                  <c:v>2025-03-27</c:v>
                </c:pt>
                <c:pt idx="226">
                  <c:v>2025-03-26</c:v>
                </c:pt>
                <c:pt idx="227">
                  <c:v>2025-03-25</c:v>
                </c:pt>
                <c:pt idx="228">
                  <c:v>2025-03-24</c:v>
                </c:pt>
                <c:pt idx="229">
                  <c:v>2025-03-21</c:v>
                </c:pt>
                <c:pt idx="230">
                  <c:v>2025-03-20</c:v>
                </c:pt>
                <c:pt idx="231">
                  <c:v>2025-03-19</c:v>
                </c:pt>
                <c:pt idx="232">
                  <c:v>2025-03-18</c:v>
                </c:pt>
                <c:pt idx="233">
                  <c:v>2025-03-17</c:v>
                </c:pt>
                <c:pt idx="234">
                  <c:v>2025-03-14</c:v>
                </c:pt>
                <c:pt idx="235">
                  <c:v>2025-03-13</c:v>
                </c:pt>
                <c:pt idx="236">
                  <c:v>2025-03-12</c:v>
                </c:pt>
                <c:pt idx="237">
                  <c:v>2025-03-11</c:v>
                </c:pt>
                <c:pt idx="238">
                  <c:v>2025-03-10</c:v>
                </c:pt>
                <c:pt idx="239">
                  <c:v>2025-03-07</c:v>
                </c:pt>
                <c:pt idx="240">
                  <c:v>2025-05-29</c:v>
                </c:pt>
                <c:pt idx="241">
                  <c:v>2025-05-28</c:v>
                </c:pt>
                <c:pt idx="242">
                  <c:v>2025-05-27</c:v>
                </c:pt>
                <c:pt idx="243">
                  <c:v>2025-05-26</c:v>
                </c:pt>
                <c:pt idx="244">
                  <c:v>2025-05-23</c:v>
                </c:pt>
                <c:pt idx="245">
                  <c:v>2025-05-22</c:v>
                </c:pt>
                <c:pt idx="246">
                  <c:v>2025-05-21</c:v>
                </c:pt>
                <c:pt idx="247">
                  <c:v>2025-05-20</c:v>
                </c:pt>
                <c:pt idx="248">
                  <c:v>2025-05-19</c:v>
                </c:pt>
                <c:pt idx="249">
                  <c:v>2025-05-16</c:v>
                </c:pt>
                <c:pt idx="250">
                  <c:v>2025-05-15</c:v>
                </c:pt>
                <c:pt idx="251">
                  <c:v>2025-05-14</c:v>
                </c:pt>
                <c:pt idx="252">
                  <c:v>2025-05-13</c:v>
                </c:pt>
                <c:pt idx="253">
                  <c:v>2025-05-12</c:v>
                </c:pt>
                <c:pt idx="254">
                  <c:v>2025-05-09</c:v>
                </c:pt>
                <c:pt idx="255">
                  <c:v>2025-05-08</c:v>
                </c:pt>
                <c:pt idx="256">
                  <c:v>2025-05-07</c:v>
                </c:pt>
                <c:pt idx="257">
                  <c:v>2025-05-06</c:v>
                </c:pt>
                <c:pt idx="258">
                  <c:v>2025-05-05</c:v>
                </c:pt>
                <c:pt idx="259">
                  <c:v>2025-05-02</c:v>
                </c:pt>
                <c:pt idx="260">
                  <c:v>2025-05-01</c:v>
                </c:pt>
                <c:pt idx="261">
                  <c:v>2025-04-30</c:v>
                </c:pt>
                <c:pt idx="262">
                  <c:v>2025-04-29</c:v>
                </c:pt>
                <c:pt idx="263">
                  <c:v>2025-04-28</c:v>
                </c:pt>
                <c:pt idx="264">
                  <c:v>2025-04-25</c:v>
                </c:pt>
                <c:pt idx="265">
                  <c:v>2025-04-24</c:v>
                </c:pt>
                <c:pt idx="266">
                  <c:v>2025-04-23</c:v>
                </c:pt>
                <c:pt idx="267">
                  <c:v>2025-04-22</c:v>
                </c:pt>
                <c:pt idx="268">
                  <c:v>2025-04-21</c:v>
                </c:pt>
                <c:pt idx="269">
                  <c:v>2025-04-18</c:v>
                </c:pt>
                <c:pt idx="270">
                  <c:v>2025-04-17</c:v>
                </c:pt>
                <c:pt idx="271">
                  <c:v>2025-04-16</c:v>
                </c:pt>
                <c:pt idx="272">
                  <c:v>2025-04-15</c:v>
                </c:pt>
                <c:pt idx="273">
                  <c:v>2025-04-14</c:v>
                </c:pt>
                <c:pt idx="274">
                  <c:v>2025-04-11</c:v>
                </c:pt>
                <c:pt idx="275">
                  <c:v>2025-04-10</c:v>
                </c:pt>
                <c:pt idx="276">
                  <c:v>2025-04-09</c:v>
                </c:pt>
                <c:pt idx="277">
                  <c:v>2025-04-08</c:v>
                </c:pt>
                <c:pt idx="278">
                  <c:v>2025-04-07</c:v>
                </c:pt>
                <c:pt idx="279">
                  <c:v>2025-04-04</c:v>
                </c:pt>
                <c:pt idx="280">
                  <c:v>2025-04-03</c:v>
                </c:pt>
                <c:pt idx="281">
                  <c:v>2025-04-02</c:v>
                </c:pt>
                <c:pt idx="282">
                  <c:v>2025-04-01</c:v>
                </c:pt>
                <c:pt idx="283">
                  <c:v>2025-03-31</c:v>
                </c:pt>
                <c:pt idx="284">
                  <c:v>2025-03-28</c:v>
                </c:pt>
                <c:pt idx="285">
                  <c:v>2025-03-27</c:v>
                </c:pt>
                <c:pt idx="286">
                  <c:v>2025-03-26</c:v>
                </c:pt>
                <c:pt idx="287">
                  <c:v>2025-03-25</c:v>
                </c:pt>
                <c:pt idx="288">
                  <c:v>2025-03-24</c:v>
                </c:pt>
                <c:pt idx="289">
                  <c:v>2025-03-21</c:v>
                </c:pt>
                <c:pt idx="290">
                  <c:v>2025-03-20</c:v>
                </c:pt>
                <c:pt idx="291">
                  <c:v>2025-03-19</c:v>
                </c:pt>
                <c:pt idx="292">
                  <c:v>2025-03-18</c:v>
                </c:pt>
                <c:pt idx="293">
                  <c:v>2025-03-17</c:v>
                </c:pt>
                <c:pt idx="294">
                  <c:v>2025-03-14</c:v>
                </c:pt>
                <c:pt idx="295">
                  <c:v>2025-03-13</c:v>
                </c:pt>
                <c:pt idx="296">
                  <c:v>2025-03-12</c:v>
                </c:pt>
                <c:pt idx="297">
                  <c:v>2025-03-11</c:v>
                </c:pt>
                <c:pt idx="298">
                  <c:v>2025-03-10</c:v>
                </c:pt>
                <c:pt idx="299">
                  <c:v>2025-03-07</c:v>
                </c:pt>
              </c:strCache>
            </c:strRef>
          </c:cat>
          <c:val>
            <c:numRef>
              <c:f>Sheet1!$K$2:$K$301</c:f>
              <c:numCache>
                <c:formatCode>General</c:formatCode>
                <c:ptCount val="300"/>
                <c:pt idx="0">
                  <c:v>681.26733333333334</c:v>
                </c:pt>
                <c:pt idx="1">
                  <c:v>680.49266666666665</c:v>
                </c:pt>
                <c:pt idx="2">
                  <c:v>681.86</c:v>
                </c:pt>
                <c:pt idx="3">
                  <c:v>682.07400000000007</c:v>
                </c:pt>
                <c:pt idx="4">
                  <c:v>682.10866666666664</c:v>
                </c:pt>
                <c:pt idx="5">
                  <c:v>682.43799999999999</c:v>
                </c:pt>
                <c:pt idx="6">
                  <c:v>681.99533333333341</c:v>
                </c:pt>
                <c:pt idx="7">
                  <c:v>681.80866666666691</c:v>
                </c:pt>
                <c:pt idx="8">
                  <c:v>682.7600000000001</c:v>
                </c:pt>
                <c:pt idx="9">
                  <c:v>681.48466666666684</c:v>
                </c:pt>
                <c:pt idx="10">
                  <c:v>681.49066666666681</c:v>
                </c:pt>
                <c:pt idx="11">
                  <c:v>682.00866666666661</c:v>
                </c:pt>
                <c:pt idx="12">
                  <c:v>681.92599999999993</c:v>
                </c:pt>
                <c:pt idx="13">
                  <c:v>681.29333333333329</c:v>
                </c:pt>
                <c:pt idx="14">
                  <c:v>683.05266666666671</c:v>
                </c:pt>
                <c:pt idx="15">
                  <c:v>683.79533333333336</c:v>
                </c:pt>
                <c:pt idx="16">
                  <c:v>683.77733333333333</c:v>
                </c:pt>
                <c:pt idx="17">
                  <c:v>683.03533333333337</c:v>
                </c:pt>
                <c:pt idx="18">
                  <c:v>681.85333333333324</c:v>
                </c:pt>
                <c:pt idx="19">
                  <c:v>682.53133333333346</c:v>
                </c:pt>
                <c:pt idx="20">
                  <c:v>683.19200000000012</c:v>
                </c:pt>
                <c:pt idx="21">
                  <c:v>683.2113333333333</c:v>
                </c:pt>
                <c:pt idx="22">
                  <c:v>683.71866666666676</c:v>
                </c:pt>
                <c:pt idx="23">
                  <c:v>682.86800000000017</c:v>
                </c:pt>
                <c:pt idx="24">
                  <c:v>683.01266666666675</c:v>
                </c:pt>
                <c:pt idx="25">
                  <c:v>683.99400000000003</c:v>
                </c:pt>
                <c:pt idx="26">
                  <c:v>683.70333333333338</c:v>
                </c:pt>
                <c:pt idx="27">
                  <c:v>683.91266666666672</c:v>
                </c:pt>
                <c:pt idx="28">
                  <c:v>683.76333333333343</c:v>
                </c:pt>
                <c:pt idx="29">
                  <c:v>682.40266666666673</c:v>
                </c:pt>
                <c:pt idx="30">
                  <c:v>683.67466666666655</c:v>
                </c:pt>
                <c:pt idx="31">
                  <c:v>683.68133333333344</c:v>
                </c:pt>
                <c:pt idx="32">
                  <c:v>682.9173333333332</c:v>
                </c:pt>
                <c:pt idx="33">
                  <c:v>682.89799999999991</c:v>
                </c:pt>
                <c:pt idx="34">
                  <c:v>681.47799999999984</c:v>
                </c:pt>
                <c:pt idx="35">
                  <c:v>680.81066666666663</c:v>
                </c:pt>
                <c:pt idx="36">
                  <c:v>680.96133333333319</c:v>
                </c:pt>
                <c:pt idx="37">
                  <c:v>680.80333333333328</c:v>
                </c:pt>
                <c:pt idx="38">
                  <c:v>680.71600000000001</c:v>
                </c:pt>
                <c:pt idx="39">
                  <c:v>682.95866666666666</c:v>
                </c:pt>
                <c:pt idx="40">
                  <c:v>682.01933333333341</c:v>
                </c:pt>
                <c:pt idx="41">
                  <c:v>681.96800000000007</c:v>
                </c:pt>
                <c:pt idx="42">
                  <c:v>682.4906666666667</c:v>
                </c:pt>
                <c:pt idx="43">
                  <c:v>683.46400000000006</c:v>
                </c:pt>
                <c:pt idx="44">
                  <c:v>682.83</c:v>
                </c:pt>
                <c:pt idx="45">
                  <c:v>682.04466666666667</c:v>
                </c:pt>
                <c:pt idx="46">
                  <c:v>720.27066666666678</c:v>
                </c:pt>
                <c:pt idx="47">
                  <c:v>757.71866666666676</c:v>
                </c:pt>
                <c:pt idx="48">
                  <c:v>797.93200000000013</c:v>
                </c:pt>
                <c:pt idx="49">
                  <c:v>837.99666666666667</c:v>
                </c:pt>
                <c:pt idx="50">
                  <c:v>875.97199999999998</c:v>
                </c:pt>
                <c:pt idx="51">
                  <c:v>913.13600000000008</c:v>
                </c:pt>
                <c:pt idx="52">
                  <c:v>951.02866666666682</c:v>
                </c:pt>
                <c:pt idx="53">
                  <c:v>988.44466666666676</c:v>
                </c:pt>
                <c:pt idx="54">
                  <c:v>1026.6513333333332</c:v>
                </c:pt>
                <c:pt idx="55">
                  <c:v>1064.876</c:v>
                </c:pt>
                <c:pt idx="56">
                  <c:v>1102.2533333333336</c:v>
                </c:pt>
                <c:pt idx="57">
                  <c:v>1139.4113333333335</c:v>
                </c:pt>
                <c:pt idx="58">
                  <c:v>1178.336</c:v>
                </c:pt>
                <c:pt idx="59">
                  <c:v>1217.4960000000001</c:v>
                </c:pt>
                <c:pt idx="60">
                  <c:v>1255.2260000000001</c:v>
                </c:pt>
                <c:pt idx="61">
                  <c:v>1253.7739999999999</c:v>
                </c:pt>
                <c:pt idx="62">
                  <c:v>1254.4559999999999</c:v>
                </c:pt>
                <c:pt idx="63">
                  <c:v>1252.682</c:v>
                </c:pt>
                <c:pt idx="64">
                  <c:v>1252.422</c:v>
                </c:pt>
                <c:pt idx="65">
                  <c:v>1254.6519999999998</c:v>
                </c:pt>
                <c:pt idx="66">
                  <c:v>1256.0360000000001</c:v>
                </c:pt>
                <c:pt idx="67">
                  <c:v>1255.7239999999999</c:v>
                </c:pt>
                <c:pt idx="68">
                  <c:v>1255.4340000000002</c:v>
                </c:pt>
                <c:pt idx="69">
                  <c:v>1254.8933333333332</c:v>
                </c:pt>
                <c:pt idx="70">
                  <c:v>1253.7006666666666</c:v>
                </c:pt>
                <c:pt idx="71">
                  <c:v>1254.2026666666668</c:v>
                </c:pt>
                <c:pt idx="72">
                  <c:v>1254.5519999999999</c:v>
                </c:pt>
                <c:pt idx="73">
                  <c:v>1253.0639999999999</c:v>
                </c:pt>
                <c:pt idx="74">
                  <c:v>1251.9286666666665</c:v>
                </c:pt>
                <c:pt idx="75">
                  <c:v>1250.4653333333333</c:v>
                </c:pt>
                <c:pt idx="76">
                  <c:v>1252.2206666666668</c:v>
                </c:pt>
                <c:pt idx="77">
                  <c:v>1253.229333333333</c:v>
                </c:pt>
                <c:pt idx="78">
                  <c:v>1254.8319999999997</c:v>
                </c:pt>
                <c:pt idx="79">
                  <c:v>1253.6766666666663</c:v>
                </c:pt>
                <c:pt idx="80">
                  <c:v>1252.1026666666664</c:v>
                </c:pt>
                <c:pt idx="81">
                  <c:v>1252.1320000000001</c:v>
                </c:pt>
                <c:pt idx="82">
                  <c:v>1251.5753333333334</c:v>
                </c:pt>
                <c:pt idx="83">
                  <c:v>1252.8993333333335</c:v>
                </c:pt>
                <c:pt idx="84">
                  <c:v>1252.5546666666664</c:v>
                </c:pt>
                <c:pt idx="85">
                  <c:v>1252.9113333333332</c:v>
                </c:pt>
                <c:pt idx="86">
                  <c:v>1253.174</c:v>
                </c:pt>
                <c:pt idx="87">
                  <c:v>1253.7346666666665</c:v>
                </c:pt>
                <c:pt idx="88">
                  <c:v>1253.4553333333331</c:v>
                </c:pt>
                <c:pt idx="89">
                  <c:v>1254.9413333333332</c:v>
                </c:pt>
                <c:pt idx="90">
                  <c:v>1254.7053333333331</c:v>
                </c:pt>
                <c:pt idx="91">
                  <c:v>1254.7626666666667</c:v>
                </c:pt>
                <c:pt idx="92">
                  <c:v>1254.2079999999999</c:v>
                </c:pt>
                <c:pt idx="93">
                  <c:v>1252.8233333333335</c:v>
                </c:pt>
                <c:pt idx="94">
                  <c:v>1252.7433333333333</c:v>
                </c:pt>
                <c:pt idx="95">
                  <c:v>1253.1753333333334</c:v>
                </c:pt>
                <c:pt idx="96">
                  <c:v>1252.692</c:v>
                </c:pt>
                <c:pt idx="97">
                  <c:v>1252.7580000000003</c:v>
                </c:pt>
                <c:pt idx="98">
                  <c:v>1251.9146666666668</c:v>
                </c:pt>
                <c:pt idx="99">
                  <c:v>1253.4066666666668</c:v>
                </c:pt>
                <c:pt idx="100">
                  <c:v>1255.3846666666664</c:v>
                </c:pt>
                <c:pt idx="101">
                  <c:v>1254.7459999999999</c:v>
                </c:pt>
                <c:pt idx="102">
                  <c:v>1254.4266666666667</c:v>
                </c:pt>
                <c:pt idx="103">
                  <c:v>1254.4059999999999</c:v>
                </c:pt>
                <c:pt idx="104">
                  <c:v>1254.3620000000001</c:v>
                </c:pt>
                <c:pt idx="105">
                  <c:v>1256.2466666666664</c:v>
                </c:pt>
                <c:pt idx="106">
                  <c:v>1330.2326666666665</c:v>
                </c:pt>
                <c:pt idx="107">
                  <c:v>1404.6106666666667</c:v>
                </c:pt>
                <c:pt idx="108">
                  <c:v>1477.2159999999999</c:v>
                </c:pt>
                <c:pt idx="109">
                  <c:v>1550.0793333333336</c:v>
                </c:pt>
                <c:pt idx="110">
                  <c:v>1623.169333333333</c:v>
                </c:pt>
                <c:pt idx="111">
                  <c:v>1697.454666666667</c:v>
                </c:pt>
                <c:pt idx="112">
                  <c:v>1770.8873333333333</c:v>
                </c:pt>
                <c:pt idx="113">
                  <c:v>1845.7026666666668</c:v>
                </c:pt>
                <c:pt idx="114">
                  <c:v>1918.4866666666669</c:v>
                </c:pt>
                <c:pt idx="115">
                  <c:v>1993.556</c:v>
                </c:pt>
                <c:pt idx="116">
                  <c:v>2067.3566666666661</c:v>
                </c:pt>
                <c:pt idx="117">
                  <c:v>2141.4013333333332</c:v>
                </c:pt>
                <c:pt idx="118">
                  <c:v>2215.4353333333333</c:v>
                </c:pt>
                <c:pt idx="119">
                  <c:v>2290.2819999999997</c:v>
                </c:pt>
                <c:pt idx="120">
                  <c:v>2362.5939999999996</c:v>
                </c:pt>
                <c:pt idx="121">
                  <c:v>2363.6900000000005</c:v>
                </c:pt>
                <c:pt idx="122">
                  <c:v>2364.9080000000004</c:v>
                </c:pt>
                <c:pt idx="123">
                  <c:v>2366.5733333333337</c:v>
                </c:pt>
                <c:pt idx="124">
                  <c:v>2367.6940000000004</c:v>
                </c:pt>
                <c:pt idx="125">
                  <c:v>2367.9106666666671</c:v>
                </c:pt>
                <c:pt idx="126">
                  <c:v>2368.0846666666671</c:v>
                </c:pt>
                <c:pt idx="127">
                  <c:v>2369.2993333333334</c:v>
                </c:pt>
                <c:pt idx="128">
                  <c:v>2368.8326666666671</c:v>
                </c:pt>
                <c:pt idx="129">
                  <c:v>2368.4833333333331</c:v>
                </c:pt>
                <c:pt idx="130">
                  <c:v>2366.3500000000004</c:v>
                </c:pt>
                <c:pt idx="131">
                  <c:v>2367.3759999999997</c:v>
                </c:pt>
                <c:pt idx="132">
                  <c:v>2368.1999999999998</c:v>
                </c:pt>
                <c:pt idx="133">
                  <c:v>2368.4846666666663</c:v>
                </c:pt>
                <c:pt idx="134">
                  <c:v>2368.0880000000002</c:v>
                </c:pt>
                <c:pt idx="135">
                  <c:v>2371.0393333333332</c:v>
                </c:pt>
                <c:pt idx="136">
                  <c:v>2369.4053333333331</c:v>
                </c:pt>
                <c:pt idx="137">
                  <c:v>2367.9753333333329</c:v>
                </c:pt>
                <c:pt idx="138">
                  <c:v>2366.199333333333</c:v>
                </c:pt>
                <c:pt idx="139">
                  <c:v>2367.1379999999999</c:v>
                </c:pt>
                <c:pt idx="140">
                  <c:v>2366.6173333333331</c:v>
                </c:pt>
                <c:pt idx="141">
                  <c:v>2366.6460000000002</c:v>
                </c:pt>
                <c:pt idx="142">
                  <c:v>2367.1400000000003</c:v>
                </c:pt>
                <c:pt idx="143">
                  <c:v>2367.7653333333337</c:v>
                </c:pt>
                <c:pt idx="144">
                  <c:v>2367.652</c:v>
                </c:pt>
                <c:pt idx="145">
                  <c:v>2369.1946666666672</c:v>
                </c:pt>
                <c:pt idx="146">
                  <c:v>2370.0213333333331</c:v>
                </c:pt>
                <c:pt idx="147">
                  <c:v>2370.0553333333332</c:v>
                </c:pt>
                <c:pt idx="148">
                  <c:v>2369.9273333333335</c:v>
                </c:pt>
                <c:pt idx="149">
                  <c:v>2370.7640000000001</c:v>
                </c:pt>
                <c:pt idx="150">
                  <c:v>2369.7179999999998</c:v>
                </c:pt>
                <c:pt idx="151">
                  <c:v>2370.317333333333</c:v>
                </c:pt>
                <c:pt idx="152">
                  <c:v>2370.4119999999998</c:v>
                </c:pt>
                <c:pt idx="153">
                  <c:v>2372.4466666666663</c:v>
                </c:pt>
                <c:pt idx="154">
                  <c:v>2372.6339999999996</c:v>
                </c:pt>
                <c:pt idx="155">
                  <c:v>2374.252</c:v>
                </c:pt>
                <c:pt idx="156">
                  <c:v>2372.174</c:v>
                </c:pt>
                <c:pt idx="157">
                  <c:v>2371.5873333333334</c:v>
                </c:pt>
                <c:pt idx="158">
                  <c:v>2371.4333333333334</c:v>
                </c:pt>
                <c:pt idx="159">
                  <c:v>2371.4993333333332</c:v>
                </c:pt>
                <c:pt idx="160">
                  <c:v>2370.9553333333329</c:v>
                </c:pt>
                <c:pt idx="161">
                  <c:v>2370.9279999999999</c:v>
                </c:pt>
                <c:pt idx="162">
                  <c:v>2370.098</c:v>
                </c:pt>
                <c:pt idx="163">
                  <c:v>2370.8960000000002</c:v>
                </c:pt>
                <c:pt idx="164">
                  <c:v>2369.3919999999998</c:v>
                </c:pt>
                <c:pt idx="165">
                  <c:v>2368.2039999999997</c:v>
                </c:pt>
                <c:pt idx="166">
                  <c:v>2403.5239999999999</c:v>
                </c:pt>
                <c:pt idx="167">
                  <c:v>2439.7293333333337</c:v>
                </c:pt>
                <c:pt idx="168">
                  <c:v>2473.6913333333337</c:v>
                </c:pt>
                <c:pt idx="169">
                  <c:v>2506.5146666666665</c:v>
                </c:pt>
                <c:pt idx="170">
                  <c:v>2542.3766666666661</c:v>
                </c:pt>
                <c:pt idx="171">
                  <c:v>2578.2833333333328</c:v>
                </c:pt>
                <c:pt idx="172">
                  <c:v>2612.3459999999995</c:v>
                </c:pt>
                <c:pt idx="173">
                  <c:v>2646.7133333333331</c:v>
                </c:pt>
                <c:pt idx="174">
                  <c:v>2682.1746666666668</c:v>
                </c:pt>
                <c:pt idx="175">
                  <c:v>2718.3233333333337</c:v>
                </c:pt>
                <c:pt idx="176">
                  <c:v>2753.0266666666666</c:v>
                </c:pt>
                <c:pt idx="177">
                  <c:v>2788.356666666667</c:v>
                </c:pt>
                <c:pt idx="178">
                  <c:v>2823.2726666666663</c:v>
                </c:pt>
                <c:pt idx="179">
                  <c:v>2858.027333333333</c:v>
                </c:pt>
                <c:pt idx="180">
                  <c:v>2893.1706666666664</c:v>
                </c:pt>
                <c:pt idx="181">
                  <c:v>2891.9539999999997</c:v>
                </c:pt>
                <c:pt idx="182">
                  <c:v>2890.0533333333328</c:v>
                </c:pt>
                <c:pt idx="183">
                  <c:v>2890.4806666666668</c:v>
                </c:pt>
                <c:pt idx="184">
                  <c:v>2891.9473333333331</c:v>
                </c:pt>
                <c:pt idx="185">
                  <c:v>2890.6386666666663</c:v>
                </c:pt>
                <c:pt idx="186">
                  <c:v>2889.9100000000003</c:v>
                </c:pt>
                <c:pt idx="187">
                  <c:v>2892.262666666667</c:v>
                </c:pt>
                <c:pt idx="188">
                  <c:v>2893.0846666666666</c:v>
                </c:pt>
                <c:pt idx="189">
                  <c:v>2893.469333333333</c:v>
                </c:pt>
                <c:pt idx="190">
                  <c:v>2891.068666666667</c:v>
                </c:pt>
                <c:pt idx="191">
                  <c:v>2889.2799999999997</c:v>
                </c:pt>
                <c:pt idx="192">
                  <c:v>2888.7779999999998</c:v>
                </c:pt>
                <c:pt idx="193">
                  <c:v>2888.7246666666665</c:v>
                </c:pt>
                <c:pt idx="194">
                  <c:v>2888.4466666666672</c:v>
                </c:pt>
                <c:pt idx="195">
                  <c:v>2887.6933333333341</c:v>
                </c:pt>
                <c:pt idx="196">
                  <c:v>2889.7926666666667</c:v>
                </c:pt>
                <c:pt idx="197">
                  <c:v>2890.8026666666669</c:v>
                </c:pt>
                <c:pt idx="198">
                  <c:v>2889.5539999999996</c:v>
                </c:pt>
                <c:pt idx="199">
                  <c:v>2889.9846666666667</c:v>
                </c:pt>
                <c:pt idx="200">
                  <c:v>2888.3179999999998</c:v>
                </c:pt>
                <c:pt idx="201">
                  <c:v>2888.9519999999998</c:v>
                </c:pt>
                <c:pt idx="202">
                  <c:v>2885.6320000000001</c:v>
                </c:pt>
                <c:pt idx="203">
                  <c:v>2884.6093333333338</c:v>
                </c:pt>
                <c:pt idx="204">
                  <c:v>2884.0720000000001</c:v>
                </c:pt>
                <c:pt idx="205">
                  <c:v>2884.1080000000002</c:v>
                </c:pt>
                <c:pt idx="206">
                  <c:v>2884.7093333333337</c:v>
                </c:pt>
                <c:pt idx="207">
                  <c:v>2884.7960000000003</c:v>
                </c:pt>
                <c:pt idx="208">
                  <c:v>2886.5726666666669</c:v>
                </c:pt>
                <c:pt idx="209">
                  <c:v>2887.182666666667</c:v>
                </c:pt>
                <c:pt idx="210">
                  <c:v>2888.6146666666664</c:v>
                </c:pt>
                <c:pt idx="211">
                  <c:v>2887.5299999999997</c:v>
                </c:pt>
                <c:pt idx="212">
                  <c:v>2887.4006666666664</c:v>
                </c:pt>
                <c:pt idx="213">
                  <c:v>2887.6440000000002</c:v>
                </c:pt>
                <c:pt idx="214">
                  <c:v>2885.8779999999997</c:v>
                </c:pt>
                <c:pt idx="215">
                  <c:v>2886.5319999999997</c:v>
                </c:pt>
                <c:pt idx="216">
                  <c:v>2887.4086666666667</c:v>
                </c:pt>
                <c:pt idx="217">
                  <c:v>2888.8486666666663</c:v>
                </c:pt>
                <c:pt idx="218">
                  <c:v>2889.4513333333325</c:v>
                </c:pt>
                <c:pt idx="219">
                  <c:v>2889.0406666666663</c:v>
                </c:pt>
                <c:pt idx="220">
                  <c:v>2891.1193333333331</c:v>
                </c:pt>
                <c:pt idx="221">
                  <c:v>2890.5026666666668</c:v>
                </c:pt>
                <c:pt idx="222">
                  <c:v>2888.8513333333335</c:v>
                </c:pt>
                <c:pt idx="223">
                  <c:v>2886.6293333333333</c:v>
                </c:pt>
                <c:pt idx="224">
                  <c:v>2887.4233333333332</c:v>
                </c:pt>
                <c:pt idx="225">
                  <c:v>2887.3286666666668</c:v>
                </c:pt>
                <c:pt idx="226">
                  <c:v>2823.5086666666666</c:v>
                </c:pt>
                <c:pt idx="227">
                  <c:v>2761.3219999999997</c:v>
                </c:pt>
                <c:pt idx="228">
                  <c:v>2701.2659999999992</c:v>
                </c:pt>
                <c:pt idx="229">
                  <c:v>2640.6506666666664</c:v>
                </c:pt>
                <c:pt idx="230">
                  <c:v>2578.2513333333332</c:v>
                </c:pt>
                <c:pt idx="231">
                  <c:v>2515.5133333333338</c:v>
                </c:pt>
                <c:pt idx="232">
                  <c:v>2452.0693333333338</c:v>
                </c:pt>
                <c:pt idx="233">
                  <c:v>2389.7006666666666</c:v>
                </c:pt>
                <c:pt idx="234">
                  <c:v>2328.0193333333332</c:v>
                </c:pt>
                <c:pt idx="235">
                  <c:v>2264.7960000000003</c:v>
                </c:pt>
                <c:pt idx="236">
                  <c:v>2203.89</c:v>
                </c:pt>
                <c:pt idx="237">
                  <c:v>2143.1433333333334</c:v>
                </c:pt>
                <c:pt idx="238">
                  <c:v>2080.6066666666666</c:v>
                </c:pt>
                <c:pt idx="239">
                  <c:v>2017.2080000000001</c:v>
                </c:pt>
                <c:pt idx="240">
                  <c:v>1955.5126666666667</c:v>
                </c:pt>
                <c:pt idx="241">
                  <c:v>1956.3053333333332</c:v>
                </c:pt>
                <c:pt idx="242">
                  <c:v>1954.4886666666673</c:v>
                </c:pt>
                <c:pt idx="243">
                  <c:v>1952.6580000000004</c:v>
                </c:pt>
                <c:pt idx="244">
                  <c:v>1952.8733333333337</c:v>
                </c:pt>
                <c:pt idx="245">
                  <c:v>1952.9073333333336</c:v>
                </c:pt>
                <c:pt idx="246">
                  <c:v>1952.4520000000002</c:v>
                </c:pt>
                <c:pt idx="247">
                  <c:v>1954.848666666667</c:v>
                </c:pt>
                <c:pt idx="248">
                  <c:v>1955.2860000000001</c:v>
                </c:pt>
                <c:pt idx="249">
                  <c:v>1954.8820000000001</c:v>
                </c:pt>
                <c:pt idx="250">
                  <c:v>1954.578</c:v>
                </c:pt>
                <c:pt idx="251">
                  <c:v>1953.9059999999999</c:v>
                </c:pt>
                <c:pt idx="252">
                  <c:v>1954.1746666666666</c:v>
                </c:pt>
                <c:pt idx="253">
                  <c:v>1953.7593333333332</c:v>
                </c:pt>
                <c:pt idx="254">
                  <c:v>1954.4906666666668</c:v>
                </c:pt>
                <c:pt idx="255">
                  <c:v>1953.6886666666667</c:v>
                </c:pt>
                <c:pt idx="256">
                  <c:v>1954.6286666666667</c:v>
                </c:pt>
                <c:pt idx="257">
                  <c:v>1954.4379999999999</c:v>
                </c:pt>
                <c:pt idx="258">
                  <c:v>1956.7839999999999</c:v>
                </c:pt>
                <c:pt idx="259">
                  <c:v>1955.232</c:v>
                </c:pt>
                <c:pt idx="260">
                  <c:v>1955.2453333333333</c:v>
                </c:pt>
                <c:pt idx="261">
                  <c:v>1956.2233333333336</c:v>
                </c:pt>
                <c:pt idx="262">
                  <c:v>1955.2120000000002</c:v>
                </c:pt>
                <c:pt idx="263">
                  <c:v>1955.2020000000002</c:v>
                </c:pt>
                <c:pt idx="264">
                  <c:v>1954.8906666666669</c:v>
                </c:pt>
                <c:pt idx="265">
                  <c:v>1955.8566666666668</c:v>
                </c:pt>
                <c:pt idx="266">
                  <c:v>1957.3513333333335</c:v>
                </c:pt>
                <c:pt idx="267">
                  <c:v>1957.1673333333333</c:v>
                </c:pt>
                <c:pt idx="268">
                  <c:v>1958.0773333333332</c:v>
                </c:pt>
                <c:pt idx="269">
                  <c:v>1957.8546666666664</c:v>
                </c:pt>
                <c:pt idx="270">
                  <c:v>1957.5759999999996</c:v>
                </c:pt>
                <c:pt idx="271">
                  <c:v>1957.075333333333</c:v>
                </c:pt>
                <c:pt idx="272">
                  <c:v>1957.1166666666661</c:v>
                </c:pt>
                <c:pt idx="273">
                  <c:v>1955.365333333333</c:v>
                </c:pt>
                <c:pt idx="274">
                  <c:v>1955.8559999999998</c:v>
                </c:pt>
                <c:pt idx="275">
                  <c:v>1956.5633333333333</c:v>
                </c:pt>
                <c:pt idx="276">
                  <c:v>1956.1346666666666</c:v>
                </c:pt>
                <c:pt idx="277">
                  <c:v>1954.1513333333335</c:v>
                </c:pt>
                <c:pt idx="278">
                  <c:v>1953.7866666666666</c:v>
                </c:pt>
                <c:pt idx="279">
                  <c:v>1954.0920000000001</c:v>
                </c:pt>
                <c:pt idx="280">
                  <c:v>1952.5086666666662</c:v>
                </c:pt>
                <c:pt idx="281">
                  <c:v>1950.6986666666667</c:v>
                </c:pt>
                <c:pt idx="282">
                  <c:v>1952.4826666666665</c:v>
                </c:pt>
                <c:pt idx="283">
                  <c:v>1952.3086666666668</c:v>
                </c:pt>
                <c:pt idx="284">
                  <c:v>1951.0406666666668</c:v>
                </c:pt>
                <c:pt idx="285">
                  <c:v>1950.6899999999998</c:v>
                </c:pt>
                <c:pt idx="286">
                  <c:v>1950.1242857142859</c:v>
                </c:pt>
                <c:pt idx="287">
                  <c:v>1951.3069230769231</c:v>
                </c:pt>
                <c:pt idx="288">
                  <c:v>1950.6108333333334</c:v>
                </c:pt>
                <c:pt idx="289">
                  <c:v>1950.4454545454546</c:v>
                </c:pt>
                <c:pt idx="290">
                  <c:v>1949.2050000000004</c:v>
                </c:pt>
                <c:pt idx="291">
                  <c:v>1948.008888888889</c:v>
                </c:pt>
                <c:pt idx="292">
                  <c:v>1950.9775</c:v>
                </c:pt>
                <c:pt idx="293">
                  <c:v>1950.6071428571429</c:v>
                </c:pt>
                <c:pt idx="294">
                  <c:v>1950.7949999999998</c:v>
                </c:pt>
                <c:pt idx="295">
                  <c:v>1951.3799999999999</c:v>
                </c:pt>
                <c:pt idx="296">
                  <c:v>1954.2774999999999</c:v>
                </c:pt>
                <c:pt idx="297">
                  <c:v>1945.8333333333333</c:v>
                </c:pt>
                <c:pt idx="298">
                  <c:v>1942.7550000000001</c:v>
                </c:pt>
                <c:pt idx="299">
                  <c:v>1945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B6-4E10-AB57-C246E93CD689}"/>
            </c:ext>
          </c:extLst>
        </c:ser>
        <c:ser>
          <c:idx val="3"/>
          <c:order val="3"/>
          <c:tx>
            <c:v>30 day moving avg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Sheet1!$A$2:$A$301</c:f>
              <c:strCache>
                <c:ptCount val="300"/>
                <c:pt idx="0">
                  <c:v>2025-05-29</c:v>
                </c:pt>
                <c:pt idx="1">
                  <c:v>2025-05-28</c:v>
                </c:pt>
                <c:pt idx="2">
                  <c:v>2025-05-27</c:v>
                </c:pt>
                <c:pt idx="3">
                  <c:v>2025-05-26</c:v>
                </c:pt>
                <c:pt idx="4">
                  <c:v>2025-05-23</c:v>
                </c:pt>
                <c:pt idx="5">
                  <c:v>2025-05-22</c:v>
                </c:pt>
                <c:pt idx="6">
                  <c:v>2025-05-21</c:v>
                </c:pt>
                <c:pt idx="7">
                  <c:v>2025-05-20</c:v>
                </c:pt>
                <c:pt idx="8">
                  <c:v>2025-05-19</c:v>
                </c:pt>
                <c:pt idx="9">
                  <c:v>2025-05-16</c:v>
                </c:pt>
                <c:pt idx="10">
                  <c:v>2025-05-15</c:v>
                </c:pt>
                <c:pt idx="11">
                  <c:v>2025-05-14</c:v>
                </c:pt>
                <c:pt idx="12">
                  <c:v>2025-05-13</c:v>
                </c:pt>
                <c:pt idx="13">
                  <c:v>2025-05-12</c:v>
                </c:pt>
                <c:pt idx="14">
                  <c:v>2025-05-09</c:v>
                </c:pt>
                <c:pt idx="15">
                  <c:v>2025-05-08</c:v>
                </c:pt>
                <c:pt idx="16">
                  <c:v>2025-05-07</c:v>
                </c:pt>
                <c:pt idx="17">
                  <c:v>2025-05-06</c:v>
                </c:pt>
                <c:pt idx="18">
                  <c:v>2025-05-05</c:v>
                </c:pt>
                <c:pt idx="19">
                  <c:v>2025-05-02</c:v>
                </c:pt>
                <c:pt idx="20">
                  <c:v>2025-05-01</c:v>
                </c:pt>
                <c:pt idx="21">
                  <c:v>2025-04-30</c:v>
                </c:pt>
                <c:pt idx="22">
                  <c:v>2025-04-29</c:v>
                </c:pt>
                <c:pt idx="23">
                  <c:v>2025-04-28</c:v>
                </c:pt>
                <c:pt idx="24">
                  <c:v>2025-04-25</c:v>
                </c:pt>
                <c:pt idx="25">
                  <c:v>2025-04-24</c:v>
                </c:pt>
                <c:pt idx="26">
                  <c:v>2025-04-23</c:v>
                </c:pt>
                <c:pt idx="27">
                  <c:v>2025-04-22</c:v>
                </c:pt>
                <c:pt idx="28">
                  <c:v>2025-04-21</c:v>
                </c:pt>
                <c:pt idx="29">
                  <c:v>2025-04-18</c:v>
                </c:pt>
                <c:pt idx="30">
                  <c:v>2025-04-17</c:v>
                </c:pt>
                <c:pt idx="31">
                  <c:v>2025-04-16</c:v>
                </c:pt>
                <c:pt idx="32">
                  <c:v>2025-04-15</c:v>
                </c:pt>
                <c:pt idx="33">
                  <c:v>2025-04-14</c:v>
                </c:pt>
                <c:pt idx="34">
                  <c:v>2025-04-11</c:v>
                </c:pt>
                <c:pt idx="35">
                  <c:v>2025-04-10</c:v>
                </c:pt>
                <c:pt idx="36">
                  <c:v>2025-04-09</c:v>
                </c:pt>
                <c:pt idx="37">
                  <c:v>2025-04-08</c:v>
                </c:pt>
                <c:pt idx="38">
                  <c:v>2025-04-07</c:v>
                </c:pt>
                <c:pt idx="39">
                  <c:v>2025-04-04</c:v>
                </c:pt>
                <c:pt idx="40">
                  <c:v>2025-04-03</c:v>
                </c:pt>
                <c:pt idx="41">
                  <c:v>2025-04-02</c:v>
                </c:pt>
                <c:pt idx="42">
                  <c:v>2025-04-01</c:v>
                </c:pt>
                <c:pt idx="43">
                  <c:v>2025-03-31</c:v>
                </c:pt>
                <c:pt idx="44">
                  <c:v>2025-03-28</c:v>
                </c:pt>
                <c:pt idx="45">
                  <c:v>2025-03-27</c:v>
                </c:pt>
                <c:pt idx="46">
                  <c:v>2025-03-26</c:v>
                </c:pt>
                <c:pt idx="47">
                  <c:v>2025-03-25</c:v>
                </c:pt>
                <c:pt idx="48">
                  <c:v>2025-03-24</c:v>
                </c:pt>
                <c:pt idx="49">
                  <c:v>2025-03-21</c:v>
                </c:pt>
                <c:pt idx="50">
                  <c:v>2025-03-20</c:v>
                </c:pt>
                <c:pt idx="51">
                  <c:v>2025-03-19</c:v>
                </c:pt>
                <c:pt idx="52">
                  <c:v>2025-03-18</c:v>
                </c:pt>
                <c:pt idx="53">
                  <c:v>2025-03-17</c:v>
                </c:pt>
                <c:pt idx="54">
                  <c:v>2025-03-14</c:v>
                </c:pt>
                <c:pt idx="55">
                  <c:v>2025-03-13</c:v>
                </c:pt>
                <c:pt idx="56">
                  <c:v>2025-03-12</c:v>
                </c:pt>
                <c:pt idx="57">
                  <c:v>2025-03-11</c:v>
                </c:pt>
                <c:pt idx="58">
                  <c:v>2025-03-10</c:v>
                </c:pt>
                <c:pt idx="59">
                  <c:v>2025-03-07</c:v>
                </c:pt>
                <c:pt idx="60">
                  <c:v>2025-05-29</c:v>
                </c:pt>
                <c:pt idx="61">
                  <c:v>2025-05-28</c:v>
                </c:pt>
                <c:pt idx="62">
                  <c:v>2025-05-27</c:v>
                </c:pt>
                <c:pt idx="63">
                  <c:v>2025-05-26</c:v>
                </c:pt>
                <c:pt idx="64">
                  <c:v>2025-05-23</c:v>
                </c:pt>
                <c:pt idx="65">
                  <c:v>2025-05-22</c:v>
                </c:pt>
                <c:pt idx="66">
                  <c:v>2025-05-21</c:v>
                </c:pt>
                <c:pt idx="67">
                  <c:v>2025-05-20</c:v>
                </c:pt>
                <c:pt idx="68">
                  <c:v>2025-05-19</c:v>
                </c:pt>
                <c:pt idx="69">
                  <c:v>2025-05-16</c:v>
                </c:pt>
                <c:pt idx="70">
                  <c:v>2025-05-15</c:v>
                </c:pt>
                <c:pt idx="71">
                  <c:v>2025-05-14</c:v>
                </c:pt>
                <c:pt idx="72">
                  <c:v>2025-05-13</c:v>
                </c:pt>
                <c:pt idx="73">
                  <c:v>2025-05-12</c:v>
                </c:pt>
                <c:pt idx="74">
                  <c:v>2025-05-09</c:v>
                </c:pt>
                <c:pt idx="75">
                  <c:v>2025-05-08</c:v>
                </c:pt>
                <c:pt idx="76">
                  <c:v>2025-05-07</c:v>
                </c:pt>
                <c:pt idx="77">
                  <c:v>2025-05-06</c:v>
                </c:pt>
                <c:pt idx="78">
                  <c:v>2025-05-05</c:v>
                </c:pt>
                <c:pt idx="79">
                  <c:v>2025-05-02</c:v>
                </c:pt>
                <c:pt idx="80">
                  <c:v>2025-05-01</c:v>
                </c:pt>
                <c:pt idx="81">
                  <c:v>2025-04-30</c:v>
                </c:pt>
                <c:pt idx="82">
                  <c:v>2025-04-29</c:v>
                </c:pt>
                <c:pt idx="83">
                  <c:v>2025-04-28</c:v>
                </c:pt>
                <c:pt idx="84">
                  <c:v>2025-04-25</c:v>
                </c:pt>
                <c:pt idx="85">
                  <c:v>2025-04-24</c:v>
                </c:pt>
                <c:pt idx="86">
                  <c:v>2025-04-23</c:v>
                </c:pt>
                <c:pt idx="87">
                  <c:v>2025-04-22</c:v>
                </c:pt>
                <c:pt idx="88">
                  <c:v>2025-04-21</c:v>
                </c:pt>
                <c:pt idx="89">
                  <c:v>2025-04-18</c:v>
                </c:pt>
                <c:pt idx="90">
                  <c:v>2025-04-17</c:v>
                </c:pt>
                <c:pt idx="91">
                  <c:v>2025-04-16</c:v>
                </c:pt>
                <c:pt idx="92">
                  <c:v>2025-04-15</c:v>
                </c:pt>
                <c:pt idx="93">
                  <c:v>2025-04-14</c:v>
                </c:pt>
                <c:pt idx="94">
                  <c:v>2025-04-11</c:v>
                </c:pt>
                <c:pt idx="95">
                  <c:v>2025-04-10</c:v>
                </c:pt>
                <c:pt idx="96">
                  <c:v>2025-04-09</c:v>
                </c:pt>
                <c:pt idx="97">
                  <c:v>2025-04-08</c:v>
                </c:pt>
                <c:pt idx="98">
                  <c:v>2025-04-07</c:v>
                </c:pt>
                <c:pt idx="99">
                  <c:v>2025-04-04</c:v>
                </c:pt>
                <c:pt idx="100">
                  <c:v>2025-04-03</c:v>
                </c:pt>
                <c:pt idx="101">
                  <c:v>2025-04-02</c:v>
                </c:pt>
                <c:pt idx="102">
                  <c:v>2025-04-01</c:v>
                </c:pt>
                <c:pt idx="103">
                  <c:v>2025-03-31</c:v>
                </c:pt>
                <c:pt idx="104">
                  <c:v>2025-03-28</c:v>
                </c:pt>
                <c:pt idx="105">
                  <c:v>2025-03-27</c:v>
                </c:pt>
                <c:pt idx="106">
                  <c:v>2025-03-26</c:v>
                </c:pt>
                <c:pt idx="107">
                  <c:v>2025-03-25</c:v>
                </c:pt>
                <c:pt idx="108">
                  <c:v>2025-03-24</c:v>
                </c:pt>
                <c:pt idx="109">
                  <c:v>2025-03-21</c:v>
                </c:pt>
                <c:pt idx="110">
                  <c:v>2025-03-20</c:v>
                </c:pt>
                <c:pt idx="111">
                  <c:v>2025-03-19</c:v>
                </c:pt>
                <c:pt idx="112">
                  <c:v>2025-03-18</c:v>
                </c:pt>
                <c:pt idx="113">
                  <c:v>2025-03-17</c:v>
                </c:pt>
                <c:pt idx="114">
                  <c:v>2025-03-14</c:v>
                </c:pt>
                <c:pt idx="115">
                  <c:v>2025-03-13</c:v>
                </c:pt>
                <c:pt idx="116">
                  <c:v>2025-03-12</c:v>
                </c:pt>
                <c:pt idx="117">
                  <c:v>2025-03-11</c:v>
                </c:pt>
                <c:pt idx="118">
                  <c:v>2025-03-10</c:v>
                </c:pt>
                <c:pt idx="119">
                  <c:v>2025-03-07</c:v>
                </c:pt>
                <c:pt idx="120">
                  <c:v>2025-05-29</c:v>
                </c:pt>
                <c:pt idx="121">
                  <c:v>2025-05-28</c:v>
                </c:pt>
                <c:pt idx="122">
                  <c:v>2025-05-27</c:v>
                </c:pt>
                <c:pt idx="123">
                  <c:v>2025-05-26</c:v>
                </c:pt>
                <c:pt idx="124">
                  <c:v>2025-05-23</c:v>
                </c:pt>
                <c:pt idx="125">
                  <c:v>2025-05-22</c:v>
                </c:pt>
                <c:pt idx="126">
                  <c:v>2025-05-21</c:v>
                </c:pt>
                <c:pt idx="127">
                  <c:v>2025-05-20</c:v>
                </c:pt>
                <c:pt idx="128">
                  <c:v>2025-05-19</c:v>
                </c:pt>
                <c:pt idx="129">
                  <c:v>2025-05-16</c:v>
                </c:pt>
                <c:pt idx="130">
                  <c:v>2025-05-15</c:v>
                </c:pt>
                <c:pt idx="131">
                  <c:v>2025-05-14</c:v>
                </c:pt>
                <c:pt idx="132">
                  <c:v>2025-05-13</c:v>
                </c:pt>
                <c:pt idx="133">
                  <c:v>2025-05-12</c:v>
                </c:pt>
                <c:pt idx="134">
                  <c:v>2025-05-09</c:v>
                </c:pt>
                <c:pt idx="135">
                  <c:v>2025-05-08</c:v>
                </c:pt>
                <c:pt idx="136">
                  <c:v>2025-05-07</c:v>
                </c:pt>
                <c:pt idx="137">
                  <c:v>2025-05-06</c:v>
                </c:pt>
                <c:pt idx="138">
                  <c:v>2025-05-05</c:v>
                </c:pt>
                <c:pt idx="139">
                  <c:v>2025-05-02</c:v>
                </c:pt>
                <c:pt idx="140">
                  <c:v>2025-05-01</c:v>
                </c:pt>
                <c:pt idx="141">
                  <c:v>2025-04-30</c:v>
                </c:pt>
                <c:pt idx="142">
                  <c:v>2025-04-29</c:v>
                </c:pt>
                <c:pt idx="143">
                  <c:v>2025-04-28</c:v>
                </c:pt>
                <c:pt idx="144">
                  <c:v>2025-04-25</c:v>
                </c:pt>
                <c:pt idx="145">
                  <c:v>2025-04-24</c:v>
                </c:pt>
                <c:pt idx="146">
                  <c:v>2025-04-23</c:v>
                </c:pt>
                <c:pt idx="147">
                  <c:v>2025-04-22</c:v>
                </c:pt>
                <c:pt idx="148">
                  <c:v>2025-04-21</c:v>
                </c:pt>
                <c:pt idx="149">
                  <c:v>2025-04-18</c:v>
                </c:pt>
                <c:pt idx="150">
                  <c:v>2025-04-17</c:v>
                </c:pt>
                <c:pt idx="151">
                  <c:v>2025-04-16</c:v>
                </c:pt>
                <c:pt idx="152">
                  <c:v>2025-04-15</c:v>
                </c:pt>
                <c:pt idx="153">
                  <c:v>2025-04-14</c:v>
                </c:pt>
                <c:pt idx="154">
                  <c:v>2025-04-11</c:v>
                </c:pt>
                <c:pt idx="155">
                  <c:v>2025-04-10</c:v>
                </c:pt>
                <c:pt idx="156">
                  <c:v>2025-04-09</c:v>
                </c:pt>
                <c:pt idx="157">
                  <c:v>2025-04-08</c:v>
                </c:pt>
                <c:pt idx="158">
                  <c:v>2025-04-07</c:v>
                </c:pt>
                <c:pt idx="159">
                  <c:v>2025-04-04</c:v>
                </c:pt>
                <c:pt idx="160">
                  <c:v>2025-04-03</c:v>
                </c:pt>
                <c:pt idx="161">
                  <c:v>2025-04-02</c:v>
                </c:pt>
                <c:pt idx="162">
                  <c:v>2025-04-01</c:v>
                </c:pt>
                <c:pt idx="163">
                  <c:v>2025-03-31</c:v>
                </c:pt>
                <c:pt idx="164">
                  <c:v>2025-03-28</c:v>
                </c:pt>
                <c:pt idx="165">
                  <c:v>2025-03-27</c:v>
                </c:pt>
                <c:pt idx="166">
                  <c:v>2025-03-26</c:v>
                </c:pt>
                <c:pt idx="167">
                  <c:v>2025-03-25</c:v>
                </c:pt>
                <c:pt idx="168">
                  <c:v>2025-03-24</c:v>
                </c:pt>
                <c:pt idx="169">
                  <c:v>2025-03-21</c:v>
                </c:pt>
                <c:pt idx="170">
                  <c:v>2025-03-20</c:v>
                </c:pt>
                <c:pt idx="171">
                  <c:v>2025-03-19</c:v>
                </c:pt>
                <c:pt idx="172">
                  <c:v>2025-03-18</c:v>
                </c:pt>
                <c:pt idx="173">
                  <c:v>2025-03-17</c:v>
                </c:pt>
                <c:pt idx="174">
                  <c:v>2025-03-14</c:v>
                </c:pt>
                <c:pt idx="175">
                  <c:v>2025-03-13</c:v>
                </c:pt>
                <c:pt idx="176">
                  <c:v>2025-03-12</c:v>
                </c:pt>
                <c:pt idx="177">
                  <c:v>2025-03-11</c:v>
                </c:pt>
                <c:pt idx="178">
                  <c:v>2025-03-10</c:v>
                </c:pt>
                <c:pt idx="179">
                  <c:v>2025-03-07</c:v>
                </c:pt>
                <c:pt idx="180">
                  <c:v>2025-05-29</c:v>
                </c:pt>
                <c:pt idx="181">
                  <c:v>2025-05-28</c:v>
                </c:pt>
                <c:pt idx="182">
                  <c:v>2025-05-27</c:v>
                </c:pt>
                <c:pt idx="183">
                  <c:v>2025-05-26</c:v>
                </c:pt>
                <c:pt idx="184">
                  <c:v>2025-05-23</c:v>
                </c:pt>
                <c:pt idx="185">
                  <c:v>2025-05-22</c:v>
                </c:pt>
                <c:pt idx="186">
                  <c:v>2025-05-21</c:v>
                </c:pt>
                <c:pt idx="187">
                  <c:v>2025-05-20</c:v>
                </c:pt>
                <c:pt idx="188">
                  <c:v>2025-05-19</c:v>
                </c:pt>
                <c:pt idx="189">
                  <c:v>2025-05-16</c:v>
                </c:pt>
                <c:pt idx="190">
                  <c:v>2025-05-15</c:v>
                </c:pt>
                <c:pt idx="191">
                  <c:v>2025-05-14</c:v>
                </c:pt>
                <c:pt idx="192">
                  <c:v>2025-05-13</c:v>
                </c:pt>
                <c:pt idx="193">
                  <c:v>2025-05-12</c:v>
                </c:pt>
                <c:pt idx="194">
                  <c:v>2025-05-09</c:v>
                </c:pt>
                <c:pt idx="195">
                  <c:v>2025-05-08</c:v>
                </c:pt>
                <c:pt idx="196">
                  <c:v>2025-05-07</c:v>
                </c:pt>
                <c:pt idx="197">
                  <c:v>2025-05-06</c:v>
                </c:pt>
                <c:pt idx="198">
                  <c:v>2025-05-05</c:v>
                </c:pt>
                <c:pt idx="199">
                  <c:v>2025-05-02</c:v>
                </c:pt>
                <c:pt idx="200">
                  <c:v>2025-05-01</c:v>
                </c:pt>
                <c:pt idx="201">
                  <c:v>2025-04-30</c:v>
                </c:pt>
                <c:pt idx="202">
                  <c:v>2025-04-29</c:v>
                </c:pt>
                <c:pt idx="203">
                  <c:v>2025-04-28</c:v>
                </c:pt>
                <c:pt idx="204">
                  <c:v>2025-04-25</c:v>
                </c:pt>
                <c:pt idx="205">
                  <c:v>2025-04-24</c:v>
                </c:pt>
                <c:pt idx="206">
                  <c:v>2025-04-23</c:v>
                </c:pt>
                <c:pt idx="207">
                  <c:v>2025-04-22</c:v>
                </c:pt>
                <c:pt idx="208">
                  <c:v>2025-04-21</c:v>
                </c:pt>
                <c:pt idx="209">
                  <c:v>2025-04-18</c:v>
                </c:pt>
                <c:pt idx="210">
                  <c:v>2025-04-17</c:v>
                </c:pt>
                <c:pt idx="211">
                  <c:v>2025-04-16</c:v>
                </c:pt>
                <c:pt idx="212">
                  <c:v>2025-04-15</c:v>
                </c:pt>
                <c:pt idx="213">
                  <c:v>2025-04-14</c:v>
                </c:pt>
                <c:pt idx="214">
                  <c:v>2025-04-11</c:v>
                </c:pt>
                <c:pt idx="215">
                  <c:v>2025-04-10</c:v>
                </c:pt>
                <c:pt idx="216">
                  <c:v>2025-04-09</c:v>
                </c:pt>
                <c:pt idx="217">
                  <c:v>2025-04-08</c:v>
                </c:pt>
                <c:pt idx="218">
                  <c:v>2025-04-07</c:v>
                </c:pt>
                <c:pt idx="219">
                  <c:v>2025-04-04</c:v>
                </c:pt>
                <c:pt idx="220">
                  <c:v>2025-04-03</c:v>
                </c:pt>
                <c:pt idx="221">
                  <c:v>2025-04-02</c:v>
                </c:pt>
                <c:pt idx="222">
                  <c:v>2025-04-01</c:v>
                </c:pt>
                <c:pt idx="223">
                  <c:v>2025-03-31</c:v>
                </c:pt>
                <c:pt idx="224">
                  <c:v>2025-03-28</c:v>
                </c:pt>
                <c:pt idx="225">
                  <c:v>2025-03-27</c:v>
                </c:pt>
                <c:pt idx="226">
                  <c:v>2025-03-26</c:v>
                </c:pt>
                <c:pt idx="227">
                  <c:v>2025-03-25</c:v>
                </c:pt>
                <c:pt idx="228">
                  <c:v>2025-03-24</c:v>
                </c:pt>
                <c:pt idx="229">
                  <c:v>2025-03-21</c:v>
                </c:pt>
                <c:pt idx="230">
                  <c:v>2025-03-20</c:v>
                </c:pt>
                <c:pt idx="231">
                  <c:v>2025-03-19</c:v>
                </c:pt>
                <c:pt idx="232">
                  <c:v>2025-03-18</c:v>
                </c:pt>
                <c:pt idx="233">
                  <c:v>2025-03-17</c:v>
                </c:pt>
                <c:pt idx="234">
                  <c:v>2025-03-14</c:v>
                </c:pt>
                <c:pt idx="235">
                  <c:v>2025-03-13</c:v>
                </c:pt>
                <c:pt idx="236">
                  <c:v>2025-03-12</c:v>
                </c:pt>
                <c:pt idx="237">
                  <c:v>2025-03-11</c:v>
                </c:pt>
                <c:pt idx="238">
                  <c:v>2025-03-10</c:v>
                </c:pt>
                <c:pt idx="239">
                  <c:v>2025-03-07</c:v>
                </c:pt>
                <c:pt idx="240">
                  <c:v>2025-05-29</c:v>
                </c:pt>
                <c:pt idx="241">
                  <c:v>2025-05-28</c:v>
                </c:pt>
                <c:pt idx="242">
                  <c:v>2025-05-27</c:v>
                </c:pt>
                <c:pt idx="243">
                  <c:v>2025-05-26</c:v>
                </c:pt>
                <c:pt idx="244">
                  <c:v>2025-05-23</c:v>
                </c:pt>
                <c:pt idx="245">
                  <c:v>2025-05-22</c:v>
                </c:pt>
                <c:pt idx="246">
                  <c:v>2025-05-21</c:v>
                </c:pt>
                <c:pt idx="247">
                  <c:v>2025-05-20</c:v>
                </c:pt>
                <c:pt idx="248">
                  <c:v>2025-05-19</c:v>
                </c:pt>
                <c:pt idx="249">
                  <c:v>2025-05-16</c:v>
                </c:pt>
                <c:pt idx="250">
                  <c:v>2025-05-15</c:v>
                </c:pt>
                <c:pt idx="251">
                  <c:v>2025-05-14</c:v>
                </c:pt>
                <c:pt idx="252">
                  <c:v>2025-05-13</c:v>
                </c:pt>
                <c:pt idx="253">
                  <c:v>2025-05-12</c:v>
                </c:pt>
                <c:pt idx="254">
                  <c:v>2025-05-09</c:v>
                </c:pt>
                <c:pt idx="255">
                  <c:v>2025-05-08</c:v>
                </c:pt>
                <c:pt idx="256">
                  <c:v>2025-05-07</c:v>
                </c:pt>
                <c:pt idx="257">
                  <c:v>2025-05-06</c:v>
                </c:pt>
                <c:pt idx="258">
                  <c:v>2025-05-05</c:v>
                </c:pt>
                <c:pt idx="259">
                  <c:v>2025-05-02</c:v>
                </c:pt>
                <c:pt idx="260">
                  <c:v>2025-05-01</c:v>
                </c:pt>
                <c:pt idx="261">
                  <c:v>2025-04-30</c:v>
                </c:pt>
                <c:pt idx="262">
                  <c:v>2025-04-29</c:v>
                </c:pt>
                <c:pt idx="263">
                  <c:v>2025-04-28</c:v>
                </c:pt>
                <c:pt idx="264">
                  <c:v>2025-04-25</c:v>
                </c:pt>
                <c:pt idx="265">
                  <c:v>2025-04-24</c:v>
                </c:pt>
                <c:pt idx="266">
                  <c:v>2025-04-23</c:v>
                </c:pt>
                <c:pt idx="267">
                  <c:v>2025-04-22</c:v>
                </c:pt>
                <c:pt idx="268">
                  <c:v>2025-04-21</c:v>
                </c:pt>
                <c:pt idx="269">
                  <c:v>2025-04-18</c:v>
                </c:pt>
                <c:pt idx="270">
                  <c:v>2025-04-17</c:v>
                </c:pt>
                <c:pt idx="271">
                  <c:v>2025-04-16</c:v>
                </c:pt>
                <c:pt idx="272">
                  <c:v>2025-04-15</c:v>
                </c:pt>
                <c:pt idx="273">
                  <c:v>2025-04-14</c:v>
                </c:pt>
                <c:pt idx="274">
                  <c:v>2025-04-11</c:v>
                </c:pt>
                <c:pt idx="275">
                  <c:v>2025-04-10</c:v>
                </c:pt>
                <c:pt idx="276">
                  <c:v>2025-04-09</c:v>
                </c:pt>
                <c:pt idx="277">
                  <c:v>2025-04-08</c:v>
                </c:pt>
                <c:pt idx="278">
                  <c:v>2025-04-07</c:v>
                </c:pt>
                <c:pt idx="279">
                  <c:v>2025-04-04</c:v>
                </c:pt>
                <c:pt idx="280">
                  <c:v>2025-04-03</c:v>
                </c:pt>
                <c:pt idx="281">
                  <c:v>2025-04-02</c:v>
                </c:pt>
                <c:pt idx="282">
                  <c:v>2025-04-01</c:v>
                </c:pt>
                <c:pt idx="283">
                  <c:v>2025-03-31</c:v>
                </c:pt>
                <c:pt idx="284">
                  <c:v>2025-03-28</c:v>
                </c:pt>
                <c:pt idx="285">
                  <c:v>2025-03-27</c:v>
                </c:pt>
                <c:pt idx="286">
                  <c:v>2025-03-26</c:v>
                </c:pt>
                <c:pt idx="287">
                  <c:v>2025-03-25</c:v>
                </c:pt>
                <c:pt idx="288">
                  <c:v>2025-03-24</c:v>
                </c:pt>
                <c:pt idx="289">
                  <c:v>2025-03-21</c:v>
                </c:pt>
                <c:pt idx="290">
                  <c:v>2025-03-20</c:v>
                </c:pt>
                <c:pt idx="291">
                  <c:v>2025-03-19</c:v>
                </c:pt>
                <c:pt idx="292">
                  <c:v>2025-03-18</c:v>
                </c:pt>
                <c:pt idx="293">
                  <c:v>2025-03-17</c:v>
                </c:pt>
                <c:pt idx="294">
                  <c:v>2025-03-14</c:v>
                </c:pt>
                <c:pt idx="295">
                  <c:v>2025-03-13</c:v>
                </c:pt>
                <c:pt idx="296">
                  <c:v>2025-03-12</c:v>
                </c:pt>
                <c:pt idx="297">
                  <c:v>2025-03-11</c:v>
                </c:pt>
                <c:pt idx="298">
                  <c:v>2025-03-10</c:v>
                </c:pt>
                <c:pt idx="299">
                  <c:v>2025-03-07</c:v>
                </c:pt>
              </c:strCache>
            </c:strRef>
          </c:cat>
          <c:val>
            <c:numRef>
              <c:f>Sheet1!$L$2:$L$301</c:f>
              <c:numCache>
                <c:formatCode>General</c:formatCode>
                <c:ptCount val="300"/>
                <c:pt idx="0">
                  <c:v>682.48354838709668</c:v>
                </c:pt>
                <c:pt idx="1">
                  <c:v>682.32580645161283</c:v>
                </c:pt>
                <c:pt idx="2">
                  <c:v>682.39354838709664</c:v>
                </c:pt>
                <c:pt idx="3">
                  <c:v>682.42096774193544</c:v>
                </c:pt>
                <c:pt idx="4">
                  <c:v>682.64548387096772</c:v>
                </c:pt>
                <c:pt idx="5">
                  <c:v>683.02999999999986</c:v>
                </c:pt>
                <c:pt idx="6">
                  <c:v>682.98903225806464</c:v>
                </c:pt>
                <c:pt idx="7">
                  <c:v>682.72387096774196</c:v>
                </c:pt>
                <c:pt idx="8">
                  <c:v>681.9403225806451</c:v>
                </c:pt>
                <c:pt idx="9">
                  <c:v>682.39129032258063</c:v>
                </c:pt>
                <c:pt idx="10">
                  <c:v>682.60645161290324</c:v>
                </c:pt>
                <c:pt idx="11">
                  <c:v>682.72096774193528</c:v>
                </c:pt>
                <c:pt idx="12">
                  <c:v>682.58290322580638</c:v>
                </c:pt>
                <c:pt idx="13">
                  <c:v>682.29967741935468</c:v>
                </c:pt>
                <c:pt idx="14">
                  <c:v>683.40096774193523</c:v>
                </c:pt>
                <c:pt idx="15">
                  <c:v>683.65161290322555</c:v>
                </c:pt>
                <c:pt idx="16">
                  <c:v>683.49903225806429</c:v>
                </c:pt>
                <c:pt idx="17">
                  <c:v>682.89580645161277</c:v>
                </c:pt>
                <c:pt idx="18">
                  <c:v>682.13258064516117</c:v>
                </c:pt>
                <c:pt idx="19">
                  <c:v>682.01741935483869</c:v>
                </c:pt>
                <c:pt idx="20">
                  <c:v>682.31548387096791</c:v>
                </c:pt>
                <c:pt idx="21">
                  <c:v>682.41225806451621</c:v>
                </c:pt>
                <c:pt idx="22">
                  <c:v>682.19516129032263</c:v>
                </c:pt>
                <c:pt idx="23">
                  <c:v>682.03645161290342</c:v>
                </c:pt>
                <c:pt idx="24">
                  <c:v>682.6500000000002</c:v>
                </c:pt>
                <c:pt idx="25">
                  <c:v>682.83741935483874</c:v>
                </c:pt>
                <c:pt idx="26">
                  <c:v>682.95419354838702</c:v>
                </c:pt>
                <c:pt idx="27">
                  <c:v>683.32709677419348</c:v>
                </c:pt>
                <c:pt idx="28">
                  <c:v>683.04322580645157</c:v>
                </c:pt>
                <c:pt idx="29">
                  <c:v>682.91322580645158</c:v>
                </c:pt>
                <c:pt idx="30">
                  <c:v>701.30096774193544</c:v>
                </c:pt>
                <c:pt idx="31">
                  <c:v>719.27709677419352</c:v>
                </c:pt>
                <c:pt idx="32">
                  <c:v>738.49096774193538</c:v>
                </c:pt>
                <c:pt idx="33">
                  <c:v>757.68580645161296</c:v>
                </c:pt>
                <c:pt idx="34">
                  <c:v>775.61774193548388</c:v>
                </c:pt>
                <c:pt idx="35">
                  <c:v>793.57870967741951</c:v>
                </c:pt>
                <c:pt idx="36">
                  <c:v>812.00129032258064</c:v>
                </c:pt>
                <c:pt idx="37">
                  <c:v>829.64322580645171</c:v>
                </c:pt>
                <c:pt idx="38">
                  <c:v>848.38322580645172</c:v>
                </c:pt>
                <c:pt idx="39">
                  <c:v>867.42258064516136</c:v>
                </c:pt>
                <c:pt idx="40">
                  <c:v>885.22096774193562</c:v>
                </c:pt>
                <c:pt idx="41">
                  <c:v>903.45806451612907</c:v>
                </c:pt>
                <c:pt idx="42">
                  <c:v>922.56419354838715</c:v>
                </c:pt>
                <c:pt idx="43">
                  <c:v>941.30096774193555</c:v>
                </c:pt>
                <c:pt idx="44">
                  <c:v>960.08580645161294</c:v>
                </c:pt>
                <c:pt idx="45">
                  <c:v>977.15548387096771</c:v>
                </c:pt>
                <c:pt idx="46">
                  <c:v>995.45838709677412</c:v>
                </c:pt>
                <c:pt idx="47">
                  <c:v>1014.1835483870968</c:v>
                </c:pt>
                <c:pt idx="48">
                  <c:v>1033.261935483871</c:v>
                </c:pt>
                <c:pt idx="49">
                  <c:v>1052.96</c:v>
                </c:pt>
                <c:pt idx="50">
                  <c:v>1071.9135483870969</c:v>
                </c:pt>
                <c:pt idx="51">
                  <c:v>1090.1122580645163</c:v>
                </c:pt>
                <c:pt idx="52">
                  <c:v>1107.6903225806452</c:v>
                </c:pt>
                <c:pt idx="53">
                  <c:v>1126.2109677419355</c:v>
                </c:pt>
                <c:pt idx="54">
                  <c:v>1143.588064516129</c:v>
                </c:pt>
                <c:pt idx="55">
                  <c:v>1162.0838709677419</c:v>
                </c:pt>
                <c:pt idx="56">
                  <c:v>1180.5148387096774</c:v>
                </c:pt>
                <c:pt idx="57">
                  <c:v>1198.6480645161289</c:v>
                </c:pt>
                <c:pt idx="58">
                  <c:v>1216.3645161290326</c:v>
                </c:pt>
                <c:pt idx="59">
                  <c:v>1234.7480645161293</c:v>
                </c:pt>
                <c:pt idx="60">
                  <c:v>1253.0470967741937</c:v>
                </c:pt>
                <c:pt idx="61">
                  <c:v>1253.3416129032257</c:v>
                </c:pt>
                <c:pt idx="62">
                  <c:v>1254.7222580645162</c:v>
                </c:pt>
                <c:pt idx="63">
                  <c:v>1253.7835483870967</c:v>
                </c:pt>
                <c:pt idx="64">
                  <c:v>1253.3338709677421</c:v>
                </c:pt>
                <c:pt idx="65">
                  <c:v>1253.9264516129035</c:v>
                </c:pt>
                <c:pt idx="66">
                  <c:v>1253.8732258064522</c:v>
                </c:pt>
                <c:pt idx="67">
                  <c:v>1253.7567741935488</c:v>
                </c:pt>
                <c:pt idx="68">
                  <c:v>1254.0061290322585</c:v>
                </c:pt>
                <c:pt idx="69">
                  <c:v>1253.0687096774195</c:v>
                </c:pt>
                <c:pt idx="70">
                  <c:v>1253.1958064516132</c:v>
                </c:pt>
                <c:pt idx="71">
                  <c:v>1253.8122580645163</c:v>
                </c:pt>
                <c:pt idx="72">
                  <c:v>1253.8306451612902</c:v>
                </c:pt>
                <c:pt idx="73">
                  <c:v>1253.4316129032254</c:v>
                </c:pt>
                <c:pt idx="74">
                  <c:v>1252.7525806451608</c:v>
                </c:pt>
                <c:pt idx="75">
                  <c:v>1252.8229032258062</c:v>
                </c:pt>
                <c:pt idx="76">
                  <c:v>1253.5516129032255</c:v>
                </c:pt>
                <c:pt idx="77">
                  <c:v>1253.9322580645157</c:v>
                </c:pt>
                <c:pt idx="78">
                  <c:v>1253.8132258064511</c:v>
                </c:pt>
                <c:pt idx="79">
                  <c:v>1253.6983870967736</c:v>
                </c:pt>
                <c:pt idx="80">
                  <c:v>1252.9780645161288</c:v>
                </c:pt>
                <c:pt idx="81">
                  <c:v>1252.2870967741933</c:v>
                </c:pt>
                <c:pt idx="82">
                  <c:v>1251.9135483870969</c:v>
                </c:pt>
                <c:pt idx="83">
                  <c:v>1253.0251612903226</c:v>
                </c:pt>
                <c:pt idx="84">
                  <c:v>1253.3064516129029</c:v>
                </c:pt>
                <c:pt idx="85">
                  <c:v>1253.7016129032256</c:v>
                </c:pt>
                <c:pt idx="86">
                  <c:v>1253.9206451612904</c:v>
                </c:pt>
                <c:pt idx="87">
                  <c:v>1253.76</c:v>
                </c:pt>
                <c:pt idx="88">
                  <c:v>1254.0596774193546</c:v>
                </c:pt>
                <c:pt idx="89">
                  <c:v>1254.8419354838709</c:v>
                </c:pt>
                <c:pt idx="90">
                  <c:v>1291.42</c:v>
                </c:pt>
                <c:pt idx="91">
                  <c:v>1327.2887096774195</c:v>
                </c:pt>
                <c:pt idx="92">
                  <c:v>1362.3129032258064</c:v>
                </c:pt>
                <c:pt idx="93">
                  <c:v>1396.6748387096775</c:v>
                </c:pt>
                <c:pt idx="94">
                  <c:v>1432.4851612903226</c:v>
                </c:pt>
                <c:pt idx="95">
                  <c:v>1468.4709677419355</c:v>
                </c:pt>
                <c:pt idx="96">
                  <c:v>1503.2977419354838</c:v>
                </c:pt>
                <c:pt idx="97">
                  <c:v>1539.3945161290324</c:v>
                </c:pt>
                <c:pt idx="98">
                  <c:v>1575.0835483870972</c:v>
                </c:pt>
                <c:pt idx="99">
                  <c:v>1611.8554838709681</c:v>
                </c:pt>
                <c:pt idx="100">
                  <c:v>1647.7880645161292</c:v>
                </c:pt>
                <c:pt idx="101">
                  <c:v>1683.7080645161293</c:v>
                </c:pt>
                <c:pt idx="102">
                  <c:v>1719.0990322580649</c:v>
                </c:pt>
                <c:pt idx="103">
                  <c:v>1755.75</c:v>
                </c:pt>
                <c:pt idx="104">
                  <c:v>1790.8029032258066</c:v>
                </c:pt>
                <c:pt idx="105">
                  <c:v>1828.0254838709679</c:v>
                </c:pt>
                <c:pt idx="106">
                  <c:v>1864.4558064516134</c:v>
                </c:pt>
                <c:pt idx="107">
                  <c:v>1900.5541935483877</c:v>
                </c:pt>
                <c:pt idx="108">
                  <c:v>1936.1283870967745</c:v>
                </c:pt>
                <c:pt idx="109">
                  <c:v>1972.0822580645163</c:v>
                </c:pt>
                <c:pt idx="110">
                  <c:v>2007.9432258064514</c:v>
                </c:pt>
                <c:pt idx="111">
                  <c:v>2043.591612903226</c:v>
                </c:pt>
                <c:pt idx="112">
                  <c:v>2079.4306451612906</c:v>
                </c:pt>
                <c:pt idx="113">
                  <c:v>2115.3587096774195</c:v>
                </c:pt>
                <c:pt idx="114">
                  <c:v>2150.3764516129036</c:v>
                </c:pt>
                <c:pt idx="115">
                  <c:v>2185.8483870967743</c:v>
                </c:pt>
                <c:pt idx="116">
                  <c:v>2222.4761290322585</c:v>
                </c:pt>
                <c:pt idx="117">
                  <c:v>2258.1593548387095</c:v>
                </c:pt>
                <c:pt idx="118">
                  <c:v>2294.6283870967741</c:v>
                </c:pt>
                <c:pt idx="119">
                  <c:v>2331.1306451612904</c:v>
                </c:pt>
                <c:pt idx="120">
                  <c:v>2366.6506451612904</c:v>
                </c:pt>
                <c:pt idx="121">
                  <c:v>2366.5893548387098</c:v>
                </c:pt>
                <c:pt idx="122">
                  <c:v>2365.8390322580644</c:v>
                </c:pt>
                <c:pt idx="123">
                  <c:v>2366.7358064516129</c:v>
                </c:pt>
                <c:pt idx="124">
                  <c:v>2367.1812903225805</c:v>
                </c:pt>
                <c:pt idx="125">
                  <c:v>2367.69</c:v>
                </c:pt>
                <c:pt idx="126">
                  <c:v>2367.6329032258063</c:v>
                </c:pt>
                <c:pt idx="127">
                  <c:v>2368.2425806451615</c:v>
                </c:pt>
                <c:pt idx="128">
                  <c:v>2367.914838709677</c:v>
                </c:pt>
                <c:pt idx="129">
                  <c:v>2368.4609677419348</c:v>
                </c:pt>
                <c:pt idx="130">
                  <c:v>2368.0090322580641</c:v>
                </c:pt>
                <c:pt idx="131">
                  <c:v>2368.9432258064512</c:v>
                </c:pt>
                <c:pt idx="132">
                  <c:v>2368.7364516129032</c:v>
                </c:pt>
                <c:pt idx="133">
                  <c:v>2369.7874193548382</c:v>
                </c:pt>
                <c:pt idx="134">
                  <c:v>2369.5674193548384</c:v>
                </c:pt>
                <c:pt idx="135">
                  <c:v>2370.3877419354835</c:v>
                </c:pt>
                <c:pt idx="136">
                  <c:v>2369.8419354838707</c:v>
                </c:pt>
                <c:pt idx="137">
                  <c:v>2369.4867741935482</c:v>
                </c:pt>
                <c:pt idx="138">
                  <c:v>2369.6683870967736</c:v>
                </c:pt>
                <c:pt idx="139">
                  <c:v>2370.3545161290322</c:v>
                </c:pt>
                <c:pt idx="140">
                  <c:v>2369.7529032258067</c:v>
                </c:pt>
                <c:pt idx="141">
                  <c:v>2369.3277419354845</c:v>
                </c:pt>
                <c:pt idx="142">
                  <c:v>2369.2751612903226</c:v>
                </c:pt>
                <c:pt idx="143">
                  <c:v>2369.2051612903224</c:v>
                </c:pt>
                <c:pt idx="144">
                  <c:v>2369.6570967741941</c:v>
                </c:pt>
                <c:pt idx="145">
                  <c:v>2370.2241935483876</c:v>
                </c:pt>
                <c:pt idx="146">
                  <c:v>2370.2603225806456</c:v>
                </c:pt>
                <c:pt idx="147">
                  <c:v>2370.0409677419357</c:v>
                </c:pt>
                <c:pt idx="148">
                  <c:v>2370.2264516129035</c:v>
                </c:pt>
                <c:pt idx="149">
                  <c:v>2369.6235483870964</c:v>
                </c:pt>
                <c:pt idx="150">
                  <c:v>2386.1061290322577</c:v>
                </c:pt>
                <c:pt idx="151">
                  <c:v>2403.869677419355</c:v>
                </c:pt>
                <c:pt idx="152">
                  <c:v>2420.6396774193549</c:v>
                </c:pt>
                <c:pt idx="153">
                  <c:v>2437.5629032258066</c:v>
                </c:pt>
                <c:pt idx="154">
                  <c:v>2455.1474193548388</c:v>
                </c:pt>
                <c:pt idx="155">
                  <c:v>2472.171935483871</c:v>
                </c:pt>
                <c:pt idx="156">
                  <c:v>2488.2148387096777</c:v>
                </c:pt>
                <c:pt idx="157">
                  <c:v>2504.552580645161</c:v>
                </c:pt>
                <c:pt idx="158">
                  <c:v>2521.338709677419</c:v>
                </c:pt>
                <c:pt idx="159">
                  <c:v>2539.3367741935481</c:v>
                </c:pt>
                <c:pt idx="160">
                  <c:v>2555.9493548387095</c:v>
                </c:pt>
                <c:pt idx="161">
                  <c:v>2572.6806451612902</c:v>
                </c:pt>
                <c:pt idx="162">
                  <c:v>2589.3396774193548</c:v>
                </c:pt>
                <c:pt idx="163">
                  <c:v>2606.403870967742</c:v>
                </c:pt>
                <c:pt idx="164">
                  <c:v>2622.4009677419358</c:v>
                </c:pt>
                <c:pt idx="165">
                  <c:v>2638.8009677419359</c:v>
                </c:pt>
                <c:pt idx="166">
                  <c:v>2655.354838709678</c:v>
                </c:pt>
                <c:pt idx="167">
                  <c:v>2672.2858064516136</c:v>
                </c:pt>
                <c:pt idx="168">
                  <c:v>2688.9341935483876</c:v>
                </c:pt>
                <c:pt idx="169">
                  <c:v>2705.7948387096781</c:v>
                </c:pt>
                <c:pt idx="170">
                  <c:v>2721.6838709677422</c:v>
                </c:pt>
                <c:pt idx="171">
                  <c:v>2739.8706451612907</c:v>
                </c:pt>
                <c:pt idx="172">
                  <c:v>2756.89</c:v>
                </c:pt>
                <c:pt idx="173">
                  <c:v>2773.9367741935484</c:v>
                </c:pt>
                <c:pt idx="174">
                  <c:v>2790.7412903225813</c:v>
                </c:pt>
                <c:pt idx="175">
                  <c:v>2806.7516129032269</c:v>
                </c:pt>
                <c:pt idx="176">
                  <c:v>2823.2532258064521</c:v>
                </c:pt>
                <c:pt idx="177">
                  <c:v>2840.2880645161299</c:v>
                </c:pt>
                <c:pt idx="178">
                  <c:v>2856.8316129032269</c:v>
                </c:pt>
                <c:pt idx="179">
                  <c:v>2873.1919354838719</c:v>
                </c:pt>
                <c:pt idx="180">
                  <c:v>2891.182580645162</c:v>
                </c:pt>
                <c:pt idx="181">
                  <c:v>2891.1348387096778</c:v>
                </c:pt>
                <c:pt idx="182">
                  <c:v>2889.9429032258063</c:v>
                </c:pt>
                <c:pt idx="183">
                  <c:v>2890.3664516129033</c:v>
                </c:pt>
                <c:pt idx="184">
                  <c:v>2890.5383870967744</c:v>
                </c:pt>
                <c:pt idx="185">
                  <c:v>2889.3816129032252</c:v>
                </c:pt>
                <c:pt idx="186">
                  <c:v>2888.5877419354833</c:v>
                </c:pt>
                <c:pt idx="187">
                  <c:v>2888.6303225806446</c:v>
                </c:pt>
                <c:pt idx="188">
                  <c:v>2888.7877419354827</c:v>
                </c:pt>
                <c:pt idx="189">
                  <c:v>2888.4509677419346</c:v>
                </c:pt>
                <c:pt idx="190">
                  <c:v>2887.2609677419355</c:v>
                </c:pt>
                <c:pt idx="191">
                  <c:v>2887.0125806451611</c:v>
                </c:pt>
                <c:pt idx="192">
                  <c:v>2887.8119354838709</c:v>
                </c:pt>
                <c:pt idx="193">
                  <c:v>2887.7558064516129</c:v>
                </c:pt>
                <c:pt idx="194">
                  <c:v>2887.9922580645166</c:v>
                </c:pt>
                <c:pt idx="195">
                  <c:v>2888.4532258064523</c:v>
                </c:pt>
                <c:pt idx="196">
                  <c:v>2888.9316129032259</c:v>
                </c:pt>
                <c:pt idx="197">
                  <c:v>2888.7770967741935</c:v>
                </c:pt>
                <c:pt idx="198">
                  <c:v>2888.1393548387096</c:v>
                </c:pt>
                <c:pt idx="199">
                  <c:v>2887.9180645161291</c:v>
                </c:pt>
                <c:pt idx="200">
                  <c:v>2887.81870967742</c:v>
                </c:pt>
                <c:pt idx="201">
                  <c:v>2888.074193548387</c:v>
                </c:pt>
                <c:pt idx="202">
                  <c:v>2887.2700000000004</c:v>
                </c:pt>
                <c:pt idx="203">
                  <c:v>2886.8309677419361</c:v>
                </c:pt>
                <c:pt idx="204">
                  <c:v>2887.3138709677423</c:v>
                </c:pt>
                <c:pt idx="205">
                  <c:v>2886.987096774194</c:v>
                </c:pt>
                <c:pt idx="206">
                  <c:v>2886.8051612903232</c:v>
                </c:pt>
                <c:pt idx="207">
                  <c:v>2886.7722580645163</c:v>
                </c:pt>
                <c:pt idx="208">
                  <c:v>2887.1261290322582</c:v>
                </c:pt>
                <c:pt idx="209">
                  <c:v>2887.4512903225809</c:v>
                </c:pt>
                <c:pt idx="210">
                  <c:v>2857.3961290322577</c:v>
                </c:pt>
                <c:pt idx="211">
                  <c:v>2826.7683870967739</c:v>
                </c:pt>
                <c:pt idx="212">
                  <c:v>2797.0658064516128</c:v>
                </c:pt>
                <c:pt idx="213">
                  <c:v>2767.7022580645157</c:v>
                </c:pt>
                <c:pt idx="214">
                  <c:v>2737.0793548387096</c:v>
                </c:pt>
                <c:pt idx="215">
                  <c:v>2707.4293548387091</c:v>
                </c:pt>
                <c:pt idx="216">
                  <c:v>2676.6793548387091</c:v>
                </c:pt>
                <c:pt idx="217">
                  <c:v>2647.3032258064513</c:v>
                </c:pt>
                <c:pt idx="218">
                  <c:v>2617.5132258064514</c:v>
                </c:pt>
                <c:pt idx="219">
                  <c:v>2587.6641935483872</c:v>
                </c:pt>
                <c:pt idx="220">
                  <c:v>2557.8493548387096</c:v>
                </c:pt>
                <c:pt idx="221">
                  <c:v>2527.9829032258071</c:v>
                </c:pt>
                <c:pt idx="222">
                  <c:v>2497.6483870967745</c:v>
                </c:pt>
                <c:pt idx="223">
                  <c:v>2466.4658064516125</c:v>
                </c:pt>
                <c:pt idx="224">
                  <c:v>2436.643225806451</c:v>
                </c:pt>
                <c:pt idx="225">
                  <c:v>2406.2787096774186</c:v>
                </c:pt>
                <c:pt idx="226">
                  <c:v>2375.2967741935481</c:v>
                </c:pt>
                <c:pt idx="227">
                  <c:v>2344.7709677419357</c:v>
                </c:pt>
                <c:pt idx="228">
                  <c:v>2315.3938709677423</c:v>
                </c:pt>
                <c:pt idx="229">
                  <c:v>2285.6419354838708</c:v>
                </c:pt>
                <c:pt idx="230">
                  <c:v>2255.4551612903219</c:v>
                </c:pt>
                <c:pt idx="231">
                  <c:v>2225.4406451612899</c:v>
                </c:pt>
                <c:pt idx="232">
                  <c:v>2195.5793548387101</c:v>
                </c:pt>
                <c:pt idx="233">
                  <c:v>2165.3022580645165</c:v>
                </c:pt>
                <c:pt idx="234">
                  <c:v>2135.5048387096776</c:v>
                </c:pt>
                <c:pt idx="235">
                  <c:v>2104.3590322580644</c:v>
                </c:pt>
                <c:pt idx="236">
                  <c:v>2074.9209677419353</c:v>
                </c:pt>
                <c:pt idx="237">
                  <c:v>2045.1845161290321</c:v>
                </c:pt>
                <c:pt idx="238">
                  <c:v>2015.4309677419353</c:v>
                </c:pt>
                <c:pt idx="239">
                  <c:v>1984.836129032258</c:v>
                </c:pt>
                <c:pt idx="240">
                  <c:v>1954.9722580645164</c:v>
                </c:pt>
                <c:pt idx="241">
                  <c:v>1954.7787096774193</c:v>
                </c:pt>
                <c:pt idx="242">
                  <c:v>1955.4783870967747</c:v>
                </c:pt>
                <c:pt idx="243">
                  <c:v>1954.4096774193549</c:v>
                </c:pt>
                <c:pt idx="244">
                  <c:v>1953.9941935483873</c:v>
                </c:pt>
                <c:pt idx="245">
                  <c:v>1954.473870967742</c:v>
                </c:pt>
                <c:pt idx="246">
                  <c:v>1954.3270967741935</c:v>
                </c:pt>
                <c:pt idx="247">
                  <c:v>1955.1596774193549</c:v>
                </c:pt>
                <c:pt idx="248">
                  <c:v>1954.9103225806452</c:v>
                </c:pt>
                <c:pt idx="249">
                  <c:v>1955.4261290322584</c:v>
                </c:pt>
                <c:pt idx="250">
                  <c:v>1955.5954838709679</c:v>
                </c:pt>
                <c:pt idx="251">
                  <c:v>1955.5390322580649</c:v>
                </c:pt>
                <c:pt idx="252">
                  <c:v>1955.6364516129036</c:v>
                </c:pt>
                <c:pt idx="253">
                  <c:v>1956.0348387096774</c:v>
                </c:pt>
                <c:pt idx="254">
                  <c:v>1955.981935483871</c:v>
                </c:pt>
                <c:pt idx="255">
                  <c:v>1955.7283870967744</c:v>
                </c:pt>
                <c:pt idx="256">
                  <c:v>1955.1712903225807</c:v>
                </c:pt>
                <c:pt idx="257">
                  <c:v>1955.9025806451616</c:v>
                </c:pt>
                <c:pt idx="258">
                  <c:v>1955.957096774194</c:v>
                </c:pt>
                <c:pt idx="259">
                  <c:v>1955.7796774193553</c:v>
                </c:pt>
                <c:pt idx="260">
                  <c:v>1956.0354838709682</c:v>
                </c:pt>
                <c:pt idx="261">
                  <c:v>1955.14935483871</c:v>
                </c:pt>
                <c:pt idx="262">
                  <c:v>1954.6458064516132</c:v>
                </c:pt>
                <c:pt idx="263">
                  <c:v>1954.3325806451617</c:v>
                </c:pt>
                <c:pt idx="264">
                  <c:v>1954.2777419354843</c:v>
                </c:pt>
                <c:pt idx="265">
                  <c:v>1953.7183870967744</c:v>
                </c:pt>
                <c:pt idx="266">
                  <c:v>1954.8503225806458</c:v>
                </c:pt>
                <c:pt idx="267">
                  <c:v>1954.7335483870972</c:v>
                </c:pt>
                <c:pt idx="268">
                  <c:v>1954.7193548387099</c:v>
                </c:pt>
                <c:pt idx="269">
                  <c:v>1954.1429032258068</c:v>
                </c:pt>
                <c:pt idx="270">
                  <c:v>1954.1330000000003</c:v>
                </c:pt>
                <c:pt idx="271">
                  <c:v>1953.7196551724139</c:v>
                </c:pt>
                <c:pt idx="272">
                  <c:v>1954.4192857142857</c:v>
                </c:pt>
                <c:pt idx="273">
                  <c:v>1953.2522222222224</c:v>
                </c:pt>
                <c:pt idx="274">
                  <c:v>1953.5669230769233</c:v>
                </c:pt>
                <c:pt idx="275">
                  <c:v>1953.6200000000003</c:v>
                </c:pt>
                <c:pt idx="276">
                  <c:v>1953.0875000000003</c:v>
                </c:pt>
                <c:pt idx="277">
                  <c:v>1953.0473913043479</c:v>
                </c:pt>
                <c:pt idx="278">
                  <c:v>1952.7750000000001</c:v>
                </c:pt>
                <c:pt idx="279">
                  <c:v>1953.15</c:v>
                </c:pt>
                <c:pt idx="280">
                  <c:v>1952.2264999999995</c:v>
                </c:pt>
                <c:pt idx="281">
                  <c:v>1951.452105263158</c:v>
                </c:pt>
                <c:pt idx="282">
                  <c:v>1951.3744444444444</c:v>
                </c:pt>
                <c:pt idx="283">
                  <c:v>1951.184705882353</c:v>
                </c:pt>
                <c:pt idx="284">
                  <c:v>1950.663125</c:v>
                </c:pt>
                <c:pt idx="285">
                  <c:v>1950.6899999999998</c:v>
                </c:pt>
                <c:pt idx="286">
                  <c:v>1950.1242857142859</c:v>
                </c:pt>
                <c:pt idx="287">
                  <c:v>1951.3069230769231</c:v>
                </c:pt>
                <c:pt idx="288">
                  <c:v>1950.6108333333334</c:v>
                </c:pt>
                <c:pt idx="289">
                  <c:v>1950.4454545454546</c:v>
                </c:pt>
                <c:pt idx="290">
                  <c:v>1949.2050000000004</c:v>
                </c:pt>
                <c:pt idx="291">
                  <c:v>1948.008888888889</c:v>
                </c:pt>
                <c:pt idx="292">
                  <c:v>1950.9775</c:v>
                </c:pt>
                <c:pt idx="293">
                  <c:v>1950.6071428571429</c:v>
                </c:pt>
                <c:pt idx="294">
                  <c:v>1950.7949999999998</c:v>
                </c:pt>
                <c:pt idx="295">
                  <c:v>1951.3799999999999</c:v>
                </c:pt>
                <c:pt idx="296">
                  <c:v>1954.2774999999999</c:v>
                </c:pt>
                <c:pt idx="297">
                  <c:v>1945.8333333333333</c:v>
                </c:pt>
                <c:pt idx="298">
                  <c:v>1942.7550000000001</c:v>
                </c:pt>
                <c:pt idx="299">
                  <c:v>1945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B6-4E10-AB57-C246E93CD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605328"/>
        <c:axId val="1462606768"/>
      </c:lineChart>
      <c:catAx>
        <c:axId val="14626053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06768"/>
        <c:crosses val="autoZero"/>
        <c:auto val="1"/>
        <c:lblAlgn val="ctr"/>
        <c:lblOffset val="100"/>
        <c:noMultiLvlLbl val="0"/>
      </c:catAx>
      <c:valAx>
        <c:axId val="14626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Area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Sheet1!$A$2:$A$301</c:f>
              <c:strCache>
                <c:ptCount val="300"/>
                <c:pt idx="0">
                  <c:v>2025-05-29</c:v>
                </c:pt>
                <c:pt idx="1">
                  <c:v>2025-05-28</c:v>
                </c:pt>
                <c:pt idx="2">
                  <c:v>2025-05-27</c:v>
                </c:pt>
                <c:pt idx="3">
                  <c:v>2025-05-26</c:v>
                </c:pt>
                <c:pt idx="4">
                  <c:v>2025-05-23</c:v>
                </c:pt>
                <c:pt idx="5">
                  <c:v>2025-05-22</c:v>
                </c:pt>
                <c:pt idx="6">
                  <c:v>2025-05-21</c:v>
                </c:pt>
                <c:pt idx="7">
                  <c:v>2025-05-20</c:v>
                </c:pt>
                <c:pt idx="8">
                  <c:v>2025-05-19</c:v>
                </c:pt>
                <c:pt idx="9">
                  <c:v>2025-05-16</c:v>
                </c:pt>
                <c:pt idx="10">
                  <c:v>2025-05-15</c:v>
                </c:pt>
                <c:pt idx="11">
                  <c:v>2025-05-14</c:v>
                </c:pt>
                <c:pt idx="12">
                  <c:v>2025-05-13</c:v>
                </c:pt>
                <c:pt idx="13">
                  <c:v>2025-05-12</c:v>
                </c:pt>
                <c:pt idx="14">
                  <c:v>2025-05-09</c:v>
                </c:pt>
                <c:pt idx="15">
                  <c:v>2025-05-08</c:v>
                </c:pt>
                <c:pt idx="16">
                  <c:v>2025-05-07</c:v>
                </c:pt>
                <c:pt idx="17">
                  <c:v>2025-05-06</c:v>
                </c:pt>
                <c:pt idx="18">
                  <c:v>2025-05-05</c:v>
                </c:pt>
                <c:pt idx="19">
                  <c:v>2025-05-02</c:v>
                </c:pt>
                <c:pt idx="20">
                  <c:v>2025-05-01</c:v>
                </c:pt>
                <c:pt idx="21">
                  <c:v>2025-04-30</c:v>
                </c:pt>
                <c:pt idx="22">
                  <c:v>2025-04-29</c:v>
                </c:pt>
                <c:pt idx="23">
                  <c:v>2025-04-28</c:v>
                </c:pt>
                <c:pt idx="24">
                  <c:v>2025-04-25</c:v>
                </c:pt>
                <c:pt idx="25">
                  <c:v>2025-04-24</c:v>
                </c:pt>
                <c:pt idx="26">
                  <c:v>2025-04-23</c:v>
                </c:pt>
                <c:pt idx="27">
                  <c:v>2025-04-22</c:v>
                </c:pt>
                <c:pt idx="28">
                  <c:v>2025-04-21</c:v>
                </c:pt>
                <c:pt idx="29">
                  <c:v>2025-04-18</c:v>
                </c:pt>
                <c:pt idx="30">
                  <c:v>2025-04-17</c:v>
                </c:pt>
                <c:pt idx="31">
                  <c:v>2025-04-16</c:v>
                </c:pt>
                <c:pt idx="32">
                  <c:v>2025-04-15</c:v>
                </c:pt>
                <c:pt idx="33">
                  <c:v>2025-04-14</c:v>
                </c:pt>
                <c:pt idx="34">
                  <c:v>2025-04-11</c:v>
                </c:pt>
                <c:pt idx="35">
                  <c:v>2025-04-10</c:v>
                </c:pt>
                <c:pt idx="36">
                  <c:v>2025-04-09</c:v>
                </c:pt>
                <c:pt idx="37">
                  <c:v>2025-04-08</c:v>
                </c:pt>
                <c:pt idx="38">
                  <c:v>2025-04-07</c:v>
                </c:pt>
                <c:pt idx="39">
                  <c:v>2025-04-04</c:v>
                </c:pt>
                <c:pt idx="40">
                  <c:v>2025-04-03</c:v>
                </c:pt>
                <c:pt idx="41">
                  <c:v>2025-04-02</c:v>
                </c:pt>
                <c:pt idx="42">
                  <c:v>2025-04-01</c:v>
                </c:pt>
                <c:pt idx="43">
                  <c:v>2025-03-31</c:v>
                </c:pt>
                <c:pt idx="44">
                  <c:v>2025-03-28</c:v>
                </c:pt>
                <c:pt idx="45">
                  <c:v>2025-03-27</c:v>
                </c:pt>
                <c:pt idx="46">
                  <c:v>2025-03-26</c:v>
                </c:pt>
                <c:pt idx="47">
                  <c:v>2025-03-25</c:v>
                </c:pt>
                <c:pt idx="48">
                  <c:v>2025-03-24</c:v>
                </c:pt>
                <c:pt idx="49">
                  <c:v>2025-03-21</c:v>
                </c:pt>
                <c:pt idx="50">
                  <c:v>2025-03-20</c:v>
                </c:pt>
                <c:pt idx="51">
                  <c:v>2025-03-19</c:v>
                </c:pt>
                <c:pt idx="52">
                  <c:v>2025-03-18</c:v>
                </c:pt>
                <c:pt idx="53">
                  <c:v>2025-03-17</c:v>
                </c:pt>
                <c:pt idx="54">
                  <c:v>2025-03-14</c:v>
                </c:pt>
                <c:pt idx="55">
                  <c:v>2025-03-13</c:v>
                </c:pt>
                <c:pt idx="56">
                  <c:v>2025-03-12</c:v>
                </c:pt>
                <c:pt idx="57">
                  <c:v>2025-03-11</c:v>
                </c:pt>
                <c:pt idx="58">
                  <c:v>2025-03-10</c:v>
                </c:pt>
                <c:pt idx="59">
                  <c:v>2025-03-07</c:v>
                </c:pt>
                <c:pt idx="60">
                  <c:v>2025-05-29</c:v>
                </c:pt>
                <c:pt idx="61">
                  <c:v>2025-05-28</c:v>
                </c:pt>
                <c:pt idx="62">
                  <c:v>2025-05-27</c:v>
                </c:pt>
                <c:pt idx="63">
                  <c:v>2025-05-26</c:v>
                </c:pt>
                <c:pt idx="64">
                  <c:v>2025-05-23</c:v>
                </c:pt>
                <c:pt idx="65">
                  <c:v>2025-05-22</c:v>
                </c:pt>
                <c:pt idx="66">
                  <c:v>2025-05-21</c:v>
                </c:pt>
                <c:pt idx="67">
                  <c:v>2025-05-20</c:v>
                </c:pt>
                <c:pt idx="68">
                  <c:v>2025-05-19</c:v>
                </c:pt>
                <c:pt idx="69">
                  <c:v>2025-05-16</c:v>
                </c:pt>
                <c:pt idx="70">
                  <c:v>2025-05-15</c:v>
                </c:pt>
                <c:pt idx="71">
                  <c:v>2025-05-14</c:v>
                </c:pt>
                <c:pt idx="72">
                  <c:v>2025-05-13</c:v>
                </c:pt>
                <c:pt idx="73">
                  <c:v>2025-05-12</c:v>
                </c:pt>
                <c:pt idx="74">
                  <c:v>2025-05-09</c:v>
                </c:pt>
                <c:pt idx="75">
                  <c:v>2025-05-08</c:v>
                </c:pt>
                <c:pt idx="76">
                  <c:v>2025-05-07</c:v>
                </c:pt>
                <c:pt idx="77">
                  <c:v>2025-05-06</c:v>
                </c:pt>
                <c:pt idx="78">
                  <c:v>2025-05-05</c:v>
                </c:pt>
                <c:pt idx="79">
                  <c:v>2025-05-02</c:v>
                </c:pt>
                <c:pt idx="80">
                  <c:v>2025-05-01</c:v>
                </c:pt>
                <c:pt idx="81">
                  <c:v>2025-04-30</c:v>
                </c:pt>
                <c:pt idx="82">
                  <c:v>2025-04-29</c:v>
                </c:pt>
                <c:pt idx="83">
                  <c:v>2025-04-28</c:v>
                </c:pt>
                <c:pt idx="84">
                  <c:v>2025-04-25</c:v>
                </c:pt>
                <c:pt idx="85">
                  <c:v>2025-04-24</c:v>
                </c:pt>
                <c:pt idx="86">
                  <c:v>2025-04-23</c:v>
                </c:pt>
                <c:pt idx="87">
                  <c:v>2025-04-22</c:v>
                </c:pt>
                <c:pt idx="88">
                  <c:v>2025-04-21</c:v>
                </c:pt>
                <c:pt idx="89">
                  <c:v>2025-04-18</c:v>
                </c:pt>
                <c:pt idx="90">
                  <c:v>2025-04-17</c:v>
                </c:pt>
                <c:pt idx="91">
                  <c:v>2025-04-16</c:v>
                </c:pt>
                <c:pt idx="92">
                  <c:v>2025-04-15</c:v>
                </c:pt>
                <c:pt idx="93">
                  <c:v>2025-04-14</c:v>
                </c:pt>
                <c:pt idx="94">
                  <c:v>2025-04-11</c:v>
                </c:pt>
                <c:pt idx="95">
                  <c:v>2025-04-10</c:v>
                </c:pt>
                <c:pt idx="96">
                  <c:v>2025-04-09</c:v>
                </c:pt>
                <c:pt idx="97">
                  <c:v>2025-04-08</c:v>
                </c:pt>
                <c:pt idx="98">
                  <c:v>2025-04-07</c:v>
                </c:pt>
                <c:pt idx="99">
                  <c:v>2025-04-04</c:v>
                </c:pt>
                <c:pt idx="100">
                  <c:v>2025-04-03</c:v>
                </c:pt>
                <c:pt idx="101">
                  <c:v>2025-04-02</c:v>
                </c:pt>
                <c:pt idx="102">
                  <c:v>2025-04-01</c:v>
                </c:pt>
                <c:pt idx="103">
                  <c:v>2025-03-31</c:v>
                </c:pt>
                <c:pt idx="104">
                  <c:v>2025-03-28</c:v>
                </c:pt>
                <c:pt idx="105">
                  <c:v>2025-03-27</c:v>
                </c:pt>
                <c:pt idx="106">
                  <c:v>2025-03-26</c:v>
                </c:pt>
                <c:pt idx="107">
                  <c:v>2025-03-25</c:v>
                </c:pt>
                <c:pt idx="108">
                  <c:v>2025-03-24</c:v>
                </c:pt>
                <c:pt idx="109">
                  <c:v>2025-03-21</c:v>
                </c:pt>
                <c:pt idx="110">
                  <c:v>2025-03-20</c:v>
                </c:pt>
                <c:pt idx="111">
                  <c:v>2025-03-19</c:v>
                </c:pt>
                <c:pt idx="112">
                  <c:v>2025-03-18</c:v>
                </c:pt>
                <c:pt idx="113">
                  <c:v>2025-03-17</c:v>
                </c:pt>
                <c:pt idx="114">
                  <c:v>2025-03-14</c:v>
                </c:pt>
                <c:pt idx="115">
                  <c:v>2025-03-13</c:v>
                </c:pt>
                <c:pt idx="116">
                  <c:v>2025-03-12</c:v>
                </c:pt>
                <c:pt idx="117">
                  <c:v>2025-03-11</c:v>
                </c:pt>
                <c:pt idx="118">
                  <c:v>2025-03-10</c:v>
                </c:pt>
                <c:pt idx="119">
                  <c:v>2025-03-07</c:v>
                </c:pt>
                <c:pt idx="120">
                  <c:v>2025-05-29</c:v>
                </c:pt>
                <c:pt idx="121">
                  <c:v>2025-05-28</c:v>
                </c:pt>
                <c:pt idx="122">
                  <c:v>2025-05-27</c:v>
                </c:pt>
                <c:pt idx="123">
                  <c:v>2025-05-26</c:v>
                </c:pt>
                <c:pt idx="124">
                  <c:v>2025-05-23</c:v>
                </c:pt>
                <c:pt idx="125">
                  <c:v>2025-05-22</c:v>
                </c:pt>
                <c:pt idx="126">
                  <c:v>2025-05-21</c:v>
                </c:pt>
                <c:pt idx="127">
                  <c:v>2025-05-20</c:v>
                </c:pt>
                <c:pt idx="128">
                  <c:v>2025-05-19</c:v>
                </c:pt>
                <c:pt idx="129">
                  <c:v>2025-05-16</c:v>
                </c:pt>
                <c:pt idx="130">
                  <c:v>2025-05-15</c:v>
                </c:pt>
                <c:pt idx="131">
                  <c:v>2025-05-14</c:v>
                </c:pt>
                <c:pt idx="132">
                  <c:v>2025-05-13</c:v>
                </c:pt>
                <c:pt idx="133">
                  <c:v>2025-05-12</c:v>
                </c:pt>
                <c:pt idx="134">
                  <c:v>2025-05-09</c:v>
                </c:pt>
                <c:pt idx="135">
                  <c:v>2025-05-08</c:v>
                </c:pt>
                <c:pt idx="136">
                  <c:v>2025-05-07</c:v>
                </c:pt>
                <c:pt idx="137">
                  <c:v>2025-05-06</c:v>
                </c:pt>
                <c:pt idx="138">
                  <c:v>2025-05-05</c:v>
                </c:pt>
                <c:pt idx="139">
                  <c:v>2025-05-02</c:v>
                </c:pt>
                <c:pt idx="140">
                  <c:v>2025-05-01</c:v>
                </c:pt>
                <c:pt idx="141">
                  <c:v>2025-04-30</c:v>
                </c:pt>
                <c:pt idx="142">
                  <c:v>2025-04-29</c:v>
                </c:pt>
                <c:pt idx="143">
                  <c:v>2025-04-28</c:v>
                </c:pt>
                <c:pt idx="144">
                  <c:v>2025-04-25</c:v>
                </c:pt>
                <c:pt idx="145">
                  <c:v>2025-04-24</c:v>
                </c:pt>
                <c:pt idx="146">
                  <c:v>2025-04-23</c:v>
                </c:pt>
                <c:pt idx="147">
                  <c:v>2025-04-22</c:v>
                </c:pt>
                <c:pt idx="148">
                  <c:v>2025-04-21</c:v>
                </c:pt>
                <c:pt idx="149">
                  <c:v>2025-04-18</c:v>
                </c:pt>
                <c:pt idx="150">
                  <c:v>2025-04-17</c:v>
                </c:pt>
                <c:pt idx="151">
                  <c:v>2025-04-16</c:v>
                </c:pt>
                <c:pt idx="152">
                  <c:v>2025-04-15</c:v>
                </c:pt>
                <c:pt idx="153">
                  <c:v>2025-04-14</c:v>
                </c:pt>
                <c:pt idx="154">
                  <c:v>2025-04-11</c:v>
                </c:pt>
                <c:pt idx="155">
                  <c:v>2025-04-10</c:v>
                </c:pt>
                <c:pt idx="156">
                  <c:v>2025-04-09</c:v>
                </c:pt>
                <c:pt idx="157">
                  <c:v>2025-04-08</c:v>
                </c:pt>
                <c:pt idx="158">
                  <c:v>2025-04-07</c:v>
                </c:pt>
                <c:pt idx="159">
                  <c:v>2025-04-04</c:v>
                </c:pt>
                <c:pt idx="160">
                  <c:v>2025-04-03</c:v>
                </c:pt>
                <c:pt idx="161">
                  <c:v>2025-04-02</c:v>
                </c:pt>
                <c:pt idx="162">
                  <c:v>2025-04-01</c:v>
                </c:pt>
                <c:pt idx="163">
                  <c:v>2025-03-31</c:v>
                </c:pt>
                <c:pt idx="164">
                  <c:v>2025-03-28</c:v>
                </c:pt>
                <c:pt idx="165">
                  <c:v>2025-03-27</c:v>
                </c:pt>
                <c:pt idx="166">
                  <c:v>2025-03-26</c:v>
                </c:pt>
                <c:pt idx="167">
                  <c:v>2025-03-25</c:v>
                </c:pt>
                <c:pt idx="168">
                  <c:v>2025-03-24</c:v>
                </c:pt>
                <c:pt idx="169">
                  <c:v>2025-03-21</c:v>
                </c:pt>
                <c:pt idx="170">
                  <c:v>2025-03-20</c:v>
                </c:pt>
                <c:pt idx="171">
                  <c:v>2025-03-19</c:v>
                </c:pt>
                <c:pt idx="172">
                  <c:v>2025-03-18</c:v>
                </c:pt>
                <c:pt idx="173">
                  <c:v>2025-03-17</c:v>
                </c:pt>
                <c:pt idx="174">
                  <c:v>2025-03-14</c:v>
                </c:pt>
                <c:pt idx="175">
                  <c:v>2025-03-13</c:v>
                </c:pt>
                <c:pt idx="176">
                  <c:v>2025-03-12</c:v>
                </c:pt>
                <c:pt idx="177">
                  <c:v>2025-03-11</c:v>
                </c:pt>
                <c:pt idx="178">
                  <c:v>2025-03-10</c:v>
                </c:pt>
                <c:pt idx="179">
                  <c:v>2025-03-07</c:v>
                </c:pt>
                <c:pt idx="180">
                  <c:v>2025-05-29</c:v>
                </c:pt>
                <c:pt idx="181">
                  <c:v>2025-05-28</c:v>
                </c:pt>
                <c:pt idx="182">
                  <c:v>2025-05-27</c:v>
                </c:pt>
                <c:pt idx="183">
                  <c:v>2025-05-26</c:v>
                </c:pt>
                <c:pt idx="184">
                  <c:v>2025-05-23</c:v>
                </c:pt>
                <c:pt idx="185">
                  <c:v>2025-05-22</c:v>
                </c:pt>
                <c:pt idx="186">
                  <c:v>2025-05-21</c:v>
                </c:pt>
                <c:pt idx="187">
                  <c:v>2025-05-20</c:v>
                </c:pt>
                <c:pt idx="188">
                  <c:v>2025-05-19</c:v>
                </c:pt>
                <c:pt idx="189">
                  <c:v>2025-05-16</c:v>
                </c:pt>
                <c:pt idx="190">
                  <c:v>2025-05-15</c:v>
                </c:pt>
                <c:pt idx="191">
                  <c:v>2025-05-14</c:v>
                </c:pt>
                <c:pt idx="192">
                  <c:v>2025-05-13</c:v>
                </c:pt>
                <c:pt idx="193">
                  <c:v>2025-05-12</c:v>
                </c:pt>
                <c:pt idx="194">
                  <c:v>2025-05-09</c:v>
                </c:pt>
                <c:pt idx="195">
                  <c:v>2025-05-08</c:v>
                </c:pt>
                <c:pt idx="196">
                  <c:v>2025-05-07</c:v>
                </c:pt>
                <c:pt idx="197">
                  <c:v>2025-05-06</c:v>
                </c:pt>
                <c:pt idx="198">
                  <c:v>2025-05-05</c:v>
                </c:pt>
                <c:pt idx="199">
                  <c:v>2025-05-02</c:v>
                </c:pt>
                <c:pt idx="200">
                  <c:v>2025-05-01</c:v>
                </c:pt>
                <c:pt idx="201">
                  <c:v>2025-04-30</c:v>
                </c:pt>
                <c:pt idx="202">
                  <c:v>2025-04-29</c:v>
                </c:pt>
                <c:pt idx="203">
                  <c:v>2025-04-28</c:v>
                </c:pt>
                <c:pt idx="204">
                  <c:v>2025-04-25</c:v>
                </c:pt>
                <c:pt idx="205">
                  <c:v>2025-04-24</c:v>
                </c:pt>
                <c:pt idx="206">
                  <c:v>2025-04-23</c:v>
                </c:pt>
                <c:pt idx="207">
                  <c:v>2025-04-22</c:v>
                </c:pt>
                <c:pt idx="208">
                  <c:v>2025-04-21</c:v>
                </c:pt>
                <c:pt idx="209">
                  <c:v>2025-04-18</c:v>
                </c:pt>
                <c:pt idx="210">
                  <c:v>2025-04-17</c:v>
                </c:pt>
                <c:pt idx="211">
                  <c:v>2025-04-16</c:v>
                </c:pt>
                <c:pt idx="212">
                  <c:v>2025-04-15</c:v>
                </c:pt>
                <c:pt idx="213">
                  <c:v>2025-04-14</c:v>
                </c:pt>
                <c:pt idx="214">
                  <c:v>2025-04-11</c:v>
                </c:pt>
                <c:pt idx="215">
                  <c:v>2025-04-10</c:v>
                </c:pt>
                <c:pt idx="216">
                  <c:v>2025-04-09</c:v>
                </c:pt>
                <c:pt idx="217">
                  <c:v>2025-04-08</c:v>
                </c:pt>
                <c:pt idx="218">
                  <c:v>2025-04-07</c:v>
                </c:pt>
                <c:pt idx="219">
                  <c:v>2025-04-04</c:v>
                </c:pt>
                <c:pt idx="220">
                  <c:v>2025-04-03</c:v>
                </c:pt>
                <c:pt idx="221">
                  <c:v>2025-04-02</c:v>
                </c:pt>
                <c:pt idx="222">
                  <c:v>2025-04-01</c:v>
                </c:pt>
                <c:pt idx="223">
                  <c:v>2025-03-31</c:v>
                </c:pt>
                <c:pt idx="224">
                  <c:v>2025-03-28</c:v>
                </c:pt>
                <c:pt idx="225">
                  <c:v>2025-03-27</c:v>
                </c:pt>
                <c:pt idx="226">
                  <c:v>2025-03-26</c:v>
                </c:pt>
                <c:pt idx="227">
                  <c:v>2025-03-25</c:v>
                </c:pt>
                <c:pt idx="228">
                  <c:v>2025-03-24</c:v>
                </c:pt>
                <c:pt idx="229">
                  <c:v>2025-03-21</c:v>
                </c:pt>
                <c:pt idx="230">
                  <c:v>2025-03-20</c:v>
                </c:pt>
                <c:pt idx="231">
                  <c:v>2025-03-19</c:v>
                </c:pt>
                <c:pt idx="232">
                  <c:v>2025-03-18</c:v>
                </c:pt>
                <c:pt idx="233">
                  <c:v>2025-03-17</c:v>
                </c:pt>
                <c:pt idx="234">
                  <c:v>2025-03-14</c:v>
                </c:pt>
                <c:pt idx="235">
                  <c:v>2025-03-13</c:v>
                </c:pt>
                <c:pt idx="236">
                  <c:v>2025-03-12</c:v>
                </c:pt>
                <c:pt idx="237">
                  <c:v>2025-03-11</c:v>
                </c:pt>
                <c:pt idx="238">
                  <c:v>2025-03-10</c:v>
                </c:pt>
                <c:pt idx="239">
                  <c:v>2025-03-07</c:v>
                </c:pt>
                <c:pt idx="240">
                  <c:v>2025-05-29</c:v>
                </c:pt>
                <c:pt idx="241">
                  <c:v>2025-05-28</c:v>
                </c:pt>
                <c:pt idx="242">
                  <c:v>2025-05-27</c:v>
                </c:pt>
                <c:pt idx="243">
                  <c:v>2025-05-26</c:v>
                </c:pt>
                <c:pt idx="244">
                  <c:v>2025-05-23</c:v>
                </c:pt>
                <c:pt idx="245">
                  <c:v>2025-05-22</c:v>
                </c:pt>
                <c:pt idx="246">
                  <c:v>2025-05-21</c:v>
                </c:pt>
                <c:pt idx="247">
                  <c:v>2025-05-20</c:v>
                </c:pt>
                <c:pt idx="248">
                  <c:v>2025-05-19</c:v>
                </c:pt>
                <c:pt idx="249">
                  <c:v>2025-05-16</c:v>
                </c:pt>
                <c:pt idx="250">
                  <c:v>2025-05-15</c:v>
                </c:pt>
                <c:pt idx="251">
                  <c:v>2025-05-14</c:v>
                </c:pt>
                <c:pt idx="252">
                  <c:v>2025-05-13</c:v>
                </c:pt>
                <c:pt idx="253">
                  <c:v>2025-05-12</c:v>
                </c:pt>
                <c:pt idx="254">
                  <c:v>2025-05-09</c:v>
                </c:pt>
                <c:pt idx="255">
                  <c:v>2025-05-08</c:v>
                </c:pt>
                <c:pt idx="256">
                  <c:v>2025-05-07</c:v>
                </c:pt>
                <c:pt idx="257">
                  <c:v>2025-05-06</c:v>
                </c:pt>
                <c:pt idx="258">
                  <c:v>2025-05-05</c:v>
                </c:pt>
                <c:pt idx="259">
                  <c:v>2025-05-02</c:v>
                </c:pt>
                <c:pt idx="260">
                  <c:v>2025-05-01</c:v>
                </c:pt>
                <c:pt idx="261">
                  <c:v>2025-04-30</c:v>
                </c:pt>
                <c:pt idx="262">
                  <c:v>2025-04-29</c:v>
                </c:pt>
                <c:pt idx="263">
                  <c:v>2025-04-28</c:v>
                </c:pt>
                <c:pt idx="264">
                  <c:v>2025-04-25</c:v>
                </c:pt>
                <c:pt idx="265">
                  <c:v>2025-04-24</c:v>
                </c:pt>
                <c:pt idx="266">
                  <c:v>2025-04-23</c:v>
                </c:pt>
                <c:pt idx="267">
                  <c:v>2025-04-22</c:v>
                </c:pt>
                <c:pt idx="268">
                  <c:v>2025-04-21</c:v>
                </c:pt>
                <c:pt idx="269">
                  <c:v>2025-04-18</c:v>
                </c:pt>
                <c:pt idx="270">
                  <c:v>2025-04-17</c:v>
                </c:pt>
                <c:pt idx="271">
                  <c:v>2025-04-16</c:v>
                </c:pt>
                <c:pt idx="272">
                  <c:v>2025-04-15</c:v>
                </c:pt>
                <c:pt idx="273">
                  <c:v>2025-04-14</c:v>
                </c:pt>
                <c:pt idx="274">
                  <c:v>2025-04-11</c:v>
                </c:pt>
                <c:pt idx="275">
                  <c:v>2025-04-10</c:v>
                </c:pt>
                <c:pt idx="276">
                  <c:v>2025-04-09</c:v>
                </c:pt>
                <c:pt idx="277">
                  <c:v>2025-04-08</c:v>
                </c:pt>
                <c:pt idx="278">
                  <c:v>2025-04-07</c:v>
                </c:pt>
                <c:pt idx="279">
                  <c:v>2025-04-04</c:v>
                </c:pt>
                <c:pt idx="280">
                  <c:v>2025-04-03</c:v>
                </c:pt>
                <c:pt idx="281">
                  <c:v>2025-04-02</c:v>
                </c:pt>
                <c:pt idx="282">
                  <c:v>2025-04-01</c:v>
                </c:pt>
                <c:pt idx="283">
                  <c:v>2025-03-31</c:v>
                </c:pt>
                <c:pt idx="284">
                  <c:v>2025-03-28</c:v>
                </c:pt>
                <c:pt idx="285">
                  <c:v>2025-03-27</c:v>
                </c:pt>
                <c:pt idx="286">
                  <c:v>2025-03-26</c:v>
                </c:pt>
                <c:pt idx="287">
                  <c:v>2025-03-25</c:v>
                </c:pt>
                <c:pt idx="288">
                  <c:v>2025-03-24</c:v>
                </c:pt>
                <c:pt idx="289">
                  <c:v>2025-03-21</c:v>
                </c:pt>
                <c:pt idx="290">
                  <c:v>2025-03-20</c:v>
                </c:pt>
                <c:pt idx="291">
                  <c:v>2025-03-19</c:v>
                </c:pt>
                <c:pt idx="292">
                  <c:v>2025-03-18</c:v>
                </c:pt>
                <c:pt idx="293">
                  <c:v>2025-03-17</c:v>
                </c:pt>
                <c:pt idx="294">
                  <c:v>2025-03-14</c:v>
                </c:pt>
                <c:pt idx="295">
                  <c:v>2025-03-13</c:v>
                </c:pt>
                <c:pt idx="296">
                  <c:v>2025-03-12</c:v>
                </c:pt>
                <c:pt idx="297">
                  <c:v>2025-03-11</c:v>
                </c:pt>
                <c:pt idx="298">
                  <c:v>2025-03-10</c:v>
                </c:pt>
                <c:pt idx="299">
                  <c:v>2025-03-07</c:v>
                </c:pt>
              </c:strCache>
            </c:strRef>
          </c:cat>
          <c:val>
            <c:numRef>
              <c:f>Sheet1!$O$2:$O$301</c:f>
              <c:numCache>
                <c:formatCode>General</c:formatCode>
                <c:ptCount val="300"/>
                <c:pt idx="0">
                  <c:v>135965</c:v>
                </c:pt>
                <c:pt idx="1">
                  <c:v>473579</c:v>
                </c:pt>
                <c:pt idx="2">
                  <c:v>847208</c:v>
                </c:pt>
                <c:pt idx="3">
                  <c:v>1104069</c:v>
                </c:pt>
                <c:pt idx="4">
                  <c:v>1466152</c:v>
                </c:pt>
                <c:pt idx="5">
                  <c:v>1620002</c:v>
                </c:pt>
                <c:pt idx="6">
                  <c:v>1843605</c:v>
                </c:pt>
                <c:pt idx="7">
                  <c:v>2320980</c:v>
                </c:pt>
                <c:pt idx="8">
                  <c:v>2776694</c:v>
                </c:pt>
                <c:pt idx="9">
                  <c:v>3207272</c:v>
                </c:pt>
                <c:pt idx="10">
                  <c:v>3498617</c:v>
                </c:pt>
                <c:pt idx="11">
                  <c:v>3624492</c:v>
                </c:pt>
                <c:pt idx="12">
                  <c:v>3991433</c:v>
                </c:pt>
                <c:pt idx="13">
                  <c:v>4474883</c:v>
                </c:pt>
                <c:pt idx="14">
                  <c:v>4788329</c:v>
                </c:pt>
                <c:pt idx="15">
                  <c:v>4990384</c:v>
                </c:pt>
                <c:pt idx="16">
                  <c:v>5244016</c:v>
                </c:pt>
                <c:pt idx="17">
                  <c:v>5636176</c:v>
                </c:pt>
                <c:pt idx="18">
                  <c:v>5994378</c:v>
                </c:pt>
                <c:pt idx="19">
                  <c:v>6255372</c:v>
                </c:pt>
                <c:pt idx="20">
                  <c:v>6686836</c:v>
                </c:pt>
                <c:pt idx="21">
                  <c:v>6916163</c:v>
                </c:pt>
                <c:pt idx="22">
                  <c:v>7100995</c:v>
                </c:pt>
                <c:pt idx="23">
                  <c:v>7207417</c:v>
                </c:pt>
                <c:pt idx="24">
                  <c:v>7704676</c:v>
                </c:pt>
                <c:pt idx="25">
                  <c:v>8170839</c:v>
                </c:pt>
                <c:pt idx="26">
                  <c:v>8350671</c:v>
                </c:pt>
                <c:pt idx="27">
                  <c:v>8754159</c:v>
                </c:pt>
                <c:pt idx="28">
                  <c:v>9217863</c:v>
                </c:pt>
                <c:pt idx="29">
                  <c:v>9537897</c:v>
                </c:pt>
                <c:pt idx="30">
                  <c:v>9676048</c:v>
                </c:pt>
                <c:pt idx="31">
                  <c:v>9886979</c:v>
                </c:pt>
                <c:pt idx="32">
                  <c:v>10218139</c:v>
                </c:pt>
                <c:pt idx="33">
                  <c:v>10438280</c:v>
                </c:pt>
                <c:pt idx="34">
                  <c:v>10676636</c:v>
                </c:pt>
                <c:pt idx="35">
                  <c:v>10937910</c:v>
                </c:pt>
                <c:pt idx="36">
                  <c:v>11061289</c:v>
                </c:pt>
                <c:pt idx="37">
                  <c:v>11434653</c:v>
                </c:pt>
                <c:pt idx="38">
                  <c:v>11686060</c:v>
                </c:pt>
                <c:pt idx="39">
                  <c:v>12184948</c:v>
                </c:pt>
                <c:pt idx="40">
                  <c:v>12684192</c:v>
                </c:pt>
                <c:pt idx="41">
                  <c:v>13037817</c:v>
                </c:pt>
                <c:pt idx="42">
                  <c:v>13327748</c:v>
                </c:pt>
                <c:pt idx="43">
                  <c:v>13807039</c:v>
                </c:pt>
                <c:pt idx="44">
                  <c:v>13992323</c:v>
                </c:pt>
                <c:pt idx="45">
                  <c:v>14346130</c:v>
                </c:pt>
                <c:pt idx="46">
                  <c:v>14771608</c:v>
                </c:pt>
                <c:pt idx="47">
                  <c:v>15083517</c:v>
                </c:pt>
                <c:pt idx="48">
                  <c:v>15326728</c:v>
                </c:pt>
                <c:pt idx="49">
                  <c:v>15786738</c:v>
                </c:pt>
                <c:pt idx="50">
                  <c:v>16255091</c:v>
                </c:pt>
                <c:pt idx="51">
                  <c:v>16450822</c:v>
                </c:pt>
                <c:pt idx="52">
                  <c:v>16836466</c:v>
                </c:pt>
                <c:pt idx="53">
                  <c:v>16986651</c:v>
                </c:pt>
                <c:pt idx="54">
                  <c:v>17431712</c:v>
                </c:pt>
                <c:pt idx="55">
                  <c:v>17672453</c:v>
                </c:pt>
                <c:pt idx="56">
                  <c:v>17988558</c:v>
                </c:pt>
                <c:pt idx="57">
                  <c:v>18330621</c:v>
                </c:pt>
                <c:pt idx="58">
                  <c:v>18805486</c:v>
                </c:pt>
                <c:pt idx="59">
                  <c:v>19271942</c:v>
                </c:pt>
                <c:pt idx="60">
                  <c:v>19768413</c:v>
                </c:pt>
                <c:pt idx="61">
                  <c:v>20032851</c:v>
                </c:pt>
                <c:pt idx="62">
                  <c:v>20495195</c:v>
                </c:pt>
                <c:pt idx="63">
                  <c:v>20722264</c:v>
                </c:pt>
                <c:pt idx="64">
                  <c:v>20857591</c:v>
                </c:pt>
                <c:pt idx="65">
                  <c:v>21054053</c:v>
                </c:pt>
                <c:pt idx="66">
                  <c:v>21414524</c:v>
                </c:pt>
                <c:pt idx="67">
                  <c:v>21824932</c:v>
                </c:pt>
                <c:pt idx="68">
                  <c:v>22311663</c:v>
                </c:pt>
                <c:pt idx="69">
                  <c:v>22784757</c:v>
                </c:pt>
                <c:pt idx="70">
                  <c:v>23074966</c:v>
                </c:pt>
                <c:pt idx="71">
                  <c:v>23530881</c:v>
                </c:pt>
                <c:pt idx="72">
                  <c:v>23964024</c:v>
                </c:pt>
                <c:pt idx="73">
                  <c:v>24396960</c:v>
                </c:pt>
                <c:pt idx="74">
                  <c:v>24830537</c:v>
                </c:pt>
                <c:pt idx="75">
                  <c:v>25309444</c:v>
                </c:pt>
                <c:pt idx="76">
                  <c:v>25674421</c:v>
                </c:pt>
                <c:pt idx="77">
                  <c:v>26070298</c:v>
                </c:pt>
                <c:pt idx="78">
                  <c:v>26268393</c:v>
                </c:pt>
                <c:pt idx="79">
                  <c:v>26552731</c:v>
                </c:pt>
                <c:pt idx="80">
                  <c:v>26803706</c:v>
                </c:pt>
                <c:pt idx="81">
                  <c:v>26993772</c:v>
                </c:pt>
                <c:pt idx="82">
                  <c:v>27346541</c:v>
                </c:pt>
                <c:pt idx="83">
                  <c:v>27577418</c:v>
                </c:pt>
                <c:pt idx="84">
                  <c:v>27876231</c:v>
                </c:pt>
                <c:pt idx="85">
                  <c:v>27993380</c:v>
                </c:pt>
                <c:pt idx="86">
                  <c:v>28177395</c:v>
                </c:pt>
                <c:pt idx="87">
                  <c:v>28410853</c:v>
                </c:pt>
                <c:pt idx="88">
                  <c:v>28906228</c:v>
                </c:pt>
                <c:pt idx="89">
                  <c:v>29067914</c:v>
                </c:pt>
                <c:pt idx="90">
                  <c:v>29413870</c:v>
                </c:pt>
                <c:pt idx="91">
                  <c:v>29883980</c:v>
                </c:pt>
                <c:pt idx="92">
                  <c:v>30362226</c:v>
                </c:pt>
                <c:pt idx="93">
                  <c:v>30708835</c:v>
                </c:pt>
                <c:pt idx="94">
                  <c:v>31176824</c:v>
                </c:pt>
                <c:pt idx="95">
                  <c:v>31519157</c:v>
                </c:pt>
                <c:pt idx="96">
                  <c:v>31971788</c:v>
                </c:pt>
                <c:pt idx="97">
                  <c:v>32379147</c:v>
                </c:pt>
                <c:pt idx="98">
                  <c:v>32655762</c:v>
                </c:pt>
                <c:pt idx="99">
                  <c:v>32922229</c:v>
                </c:pt>
                <c:pt idx="100">
                  <c:v>33299426</c:v>
                </c:pt>
                <c:pt idx="101">
                  <c:v>33410913</c:v>
                </c:pt>
                <c:pt idx="102">
                  <c:v>33565853</c:v>
                </c:pt>
                <c:pt idx="103">
                  <c:v>33968793</c:v>
                </c:pt>
                <c:pt idx="104">
                  <c:v>34085593</c:v>
                </c:pt>
                <c:pt idx="105">
                  <c:v>34236528</c:v>
                </c:pt>
                <c:pt idx="106">
                  <c:v>34337567</c:v>
                </c:pt>
                <c:pt idx="107">
                  <c:v>34624071</c:v>
                </c:pt>
                <c:pt idx="108">
                  <c:v>34880214</c:v>
                </c:pt>
                <c:pt idx="109">
                  <c:v>35300864</c:v>
                </c:pt>
                <c:pt idx="110">
                  <c:v>35613530</c:v>
                </c:pt>
                <c:pt idx="111">
                  <c:v>35723543</c:v>
                </c:pt>
                <c:pt idx="112">
                  <c:v>36145276</c:v>
                </c:pt>
                <c:pt idx="113">
                  <c:v>36423016</c:v>
                </c:pt>
                <c:pt idx="114">
                  <c:v>36611555</c:v>
                </c:pt>
                <c:pt idx="115">
                  <c:v>36792435</c:v>
                </c:pt>
                <c:pt idx="116">
                  <c:v>37267199</c:v>
                </c:pt>
                <c:pt idx="117">
                  <c:v>37518156</c:v>
                </c:pt>
                <c:pt idx="118">
                  <c:v>37684100</c:v>
                </c:pt>
                <c:pt idx="119">
                  <c:v>37876903</c:v>
                </c:pt>
                <c:pt idx="120">
                  <c:v>38088770</c:v>
                </c:pt>
                <c:pt idx="121">
                  <c:v>38529000</c:v>
                </c:pt>
                <c:pt idx="122">
                  <c:v>38821274</c:v>
                </c:pt>
                <c:pt idx="123">
                  <c:v>39023866</c:v>
                </c:pt>
                <c:pt idx="124">
                  <c:v>39157015</c:v>
                </c:pt>
                <c:pt idx="125">
                  <c:v>39272387</c:v>
                </c:pt>
                <c:pt idx="126">
                  <c:v>39737369</c:v>
                </c:pt>
                <c:pt idx="127">
                  <c:v>39838183</c:v>
                </c:pt>
                <c:pt idx="128">
                  <c:v>39954897</c:v>
                </c:pt>
                <c:pt idx="129">
                  <c:v>40198136</c:v>
                </c:pt>
                <c:pt idx="130">
                  <c:v>40617606</c:v>
                </c:pt>
                <c:pt idx="131">
                  <c:v>40835019</c:v>
                </c:pt>
                <c:pt idx="132">
                  <c:v>41286446</c:v>
                </c:pt>
                <c:pt idx="133">
                  <c:v>41466054</c:v>
                </c:pt>
                <c:pt idx="134">
                  <c:v>41634776</c:v>
                </c:pt>
                <c:pt idx="135">
                  <c:v>41817036</c:v>
                </c:pt>
                <c:pt idx="136">
                  <c:v>42089380</c:v>
                </c:pt>
                <c:pt idx="137">
                  <c:v>42298651</c:v>
                </c:pt>
                <c:pt idx="138">
                  <c:v>42576667</c:v>
                </c:pt>
                <c:pt idx="139">
                  <c:v>42778324</c:v>
                </c:pt>
                <c:pt idx="140">
                  <c:v>43043227</c:v>
                </c:pt>
                <c:pt idx="141">
                  <c:v>43275888</c:v>
                </c:pt>
                <c:pt idx="142">
                  <c:v>43545673</c:v>
                </c:pt>
                <c:pt idx="143">
                  <c:v>43956159</c:v>
                </c:pt>
                <c:pt idx="144">
                  <c:v>44279166</c:v>
                </c:pt>
                <c:pt idx="145">
                  <c:v>44518739</c:v>
                </c:pt>
                <c:pt idx="146">
                  <c:v>44690594</c:v>
                </c:pt>
                <c:pt idx="147">
                  <c:v>45054354</c:v>
                </c:pt>
                <c:pt idx="148">
                  <c:v>45199267</c:v>
                </c:pt>
                <c:pt idx="149">
                  <c:v>45341425</c:v>
                </c:pt>
                <c:pt idx="150">
                  <c:v>45641086</c:v>
                </c:pt>
                <c:pt idx="151">
                  <c:v>45817019</c:v>
                </c:pt>
                <c:pt idx="152">
                  <c:v>46148140</c:v>
                </c:pt>
                <c:pt idx="153">
                  <c:v>46264972</c:v>
                </c:pt>
                <c:pt idx="154">
                  <c:v>46740838</c:v>
                </c:pt>
                <c:pt idx="155">
                  <c:v>46920244</c:v>
                </c:pt>
                <c:pt idx="156">
                  <c:v>47244149</c:v>
                </c:pt>
                <c:pt idx="157">
                  <c:v>47543533</c:v>
                </c:pt>
                <c:pt idx="158">
                  <c:v>47743529</c:v>
                </c:pt>
                <c:pt idx="159">
                  <c:v>48209246</c:v>
                </c:pt>
                <c:pt idx="160">
                  <c:v>48410899</c:v>
                </c:pt>
                <c:pt idx="161">
                  <c:v>48793561</c:v>
                </c:pt>
                <c:pt idx="162">
                  <c:v>49207202</c:v>
                </c:pt>
                <c:pt idx="163">
                  <c:v>49590099</c:v>
                </c:pt>
                <c:pt idx="164">
                  <c:v>49751378</c:v>
                </c:pt>
                <c:pt idx="165">
                  <c:v>50132667</c:v>
                </c:pt>
                <c:pt idx="166">
                  <c:v>50260175</c:v>
                </c:pt>
                <c:pt idx="167">
                  <c:v>50642380</c:v>
                </c:pt>
                <c:pt idx="168">
                  <c:v>50811201</c:v>
                </c:pt>
                <c:pt idx="169">
                  <c:v>51188703</c:v>
                </c:pt>
                <c:pt idx="170">
                  <c:v>51576065</c:v>
                </c:pt>
                <c:pt idx="171">
                  <c:v>51683339</c:v>
                </c:pt>
                <c:pt idx="172">
                  <c:v>52036859</c:v>
                </c:pt>
                <c:pt idx="173">
                  <c:v>52260128</c:v>
                </c:pt>
                <c:pt idx="174">
                  <c:v>52679492</c:v>
                </c:pt>
                <c:pt idx="175">
                  <c:v>53161909</c:v>
                </c:pt>
                <c:pt idx="176">
                  <c:v>53389536</c:v>
                </c:pt>
                <c:pt idx="177">
                  <c:v>53695081</c:v>
                </c:pt>
                <c:pt idx="178">
                  <c:v>53846623</c:v>
                </c:pt>
                <c:pt idx="179">
                  <c:v>53979698</c:v>
                </c:pt>
                <c:pt idx="180">
                  <c:v>54120110</c:v>
                </c:pt>
                <c:pt idx="181">
                  <c:v>54421116</c:v>
                </c:pt>
                <c:pt idx="182">
                  <c:v>54904612</c:v>
                </c:pt>
                <c:pt idx="183">
                  <c:v>55361438</c:v>
                </c:pt>
                <c:pt idx="184">
                  <c:v>55593574</c:v>
                </c:pt>
                <c:pt idx="185">
                  <c:v>55734922</c:v>
                </c:pt>
                <c:pt idx="186">
                  <c:v>56159306</c:v>
                </c:pt>
                <c:pt idx="187">
                  <c:v>56639531</c:v>
                </c:pt>
                <c:pt idx="188">
                  <c:v>56786749</c:v>
                </c:pt>
                <c:pt idx="189">
                  <c:v>56923761</c:v>
                </c:pt>
                <c:pt idx="190">
                  <c:v>57302861</c:v>
                </c:pt>
                <c:pt idx="191">
                  <c:v>57659399</c:v>
                </c:pt>
                <c:pt idx="192">
                  <c:v>57933357</c:v>
                </c:pt>
                <c:pt idx="193">
                  <c:v>58358109</c:v>
                </c:pt>
                <c:pt idx="194">
                  <c:v>58852031</c:v>
                </c:pt>
                <c:pt idx="195">
                  <c:v>59061510</c:v>
                </c:pt>
                <c:pt idx="196">
                  <c:v>59163141</c:v>
                </c:pt>
                <c:pt idx="197">
                  <c:v>59326605</c:v>
                </c:pt>
                <c:pt idx="198">
                  <c:v>59676575</c:v>
                </c:pt>
                <c:pt idx="199">
                  <c:v>60096439</c:v>
                </c:pt>
                <c:pt idx="200">
                  <c:v>60344713</c:v>
                </c:pt>
                <c:pt idx="201">
                  <c:v>60577245</c:v>
                </c:pt>
                <c:pt idx="202">
                  <c:v>60701159</c:v>
                </c:pt>
                <c:pt idx="203">
                  <c:v>60964048</c:v>
                </c:pt>
                <c:pt idx="204">
                  <c:v>61171212</c:v>
                </c:pt>
                <c:pt idx="205">
                  <c:v>61431560</c:v>
                </c:pt>
                <c:pt idx="206">
                  <c:v>61856937</c:v>
                </c:pt>
                <c:pt idx="207">
                  <c:v>62177853</c:v>
                </c:pt>
                <c:pt idx="208">
                  <c:v>62482678</c:v>
                </c:pt>
                <c:pt idx="209">
                  <c:v>62965208</c:v>
                </c:pt>
                <c:pt idx="210">
                  <c:v>63313530</c:v>
                </c:pt>
                <c:pt idx="211">
                  <c:v>63645700</c:v>
                </c:pt>
                <c:pt idx="212">
                  <c:v>64115145</c:v>
                </c:pt>
                <c:pt idx="213">
                  <c:v>64408139</c:v>
                </c:pt>
                <c:pt idx="214">
                  <c:v>64533095</c:v>
                </c:pt>
                <c:pt idx="215">
                  <c:v>64868349</c:v>
                </c:pt>
                <c:pt idx="216">
                  <c:v>65180881</c:v>
                </c:pt>
                <c:pt idx="217">
                  <c:v>65361096</c:v>
                </c:pt>
                <c:pt idx="218">
                  <c:v>65797523</c:v>
                </c:pt>
                <c:pt idx="219">
                  <c:v>66106128</c:v>
                </c:pt>
                <c:pt idx="220">
                  <c:v>66587122</c:v>
                </c:pt>
                <c:pt idx="221">
                  <c:v>66772006</c:v>
                </c:pt>
                <c:pt idx="222">
                  <c:v>67240268</c:v>
                </c:pt>
                <c:pt idx="223">
                  <c:v>67714882</c:v>
                </c:pt>
                <c:pt idx="224">
                  <c:v>67897698</c:v>
                </c:pt>
                <c:pt idx="225">
                  <c:v>68172236</c:v>
                </c:pt>
                <c:pt idx="226">
                  <c:v>68584885</c:v>
                </c:pt>
                <c:pt idx="227">
                  <c:v>68723320</c:v>
                </c:pt>
                <c:pt idx="228">
                  <c:v>68945296</c:v>
                </c:pt>
                <c:pt idx="229">
                  <c:v>69400232</c:v>
                </c:pt>
                <c:pt idx="230">
                  <c:v>69847675</c:v>
                </c:pt>
                <c:pt idx="231">
                  <c:v>70084946</c:v>
                </c:pt>
                <c:pt idx="232">
                  <c:v>70209495</c:v>
                </c:pt>
                <c:pt idx="233">
                  <c:v>70633512</c:v>
                </c:pt>
                <c:pt idx="234">
                  <c:v>70764492</c:v>
                </c:pt>
                <c:pt idx="235">
                  <c:v>71155408</c:v>
                </c:pt>
                <c:pt idx="236">
                  <c:v>71643481</c:v>
                </c:pt>
                <c:pt idx="237">
                  <c:v>71928217</c:v>
                </c:pt>
                <c:pt idx="238">
                  <c:v>72256120</c:v>
                </c:pt>
                <c:pt idx="239">
                  <c:v>72370955</c:v>
                </c:pt>
                <c:pt idx="240">
                  <c:v>72708110</c:v>
                </c:pt>
                <c:pt idx="241">
                  <c:v>73087871</c:v>
                </c:pt>
                <c:pt idx="242">
                  <c:v>73420576</c:v>
                </c:pt>
                <c:pt idx="243">
                  <c:v>73723320</c:v>
                </c:pt>
                <c:pt idx="244">
                  <c:v>74115884</c:v>
                </c:pt>
                <c:pt idx="245">
                  <c:v>74350241</c:v>
                </c:pt>
                <c:pt idx="246">
                  <c:v>74469034</c:v>
                </c:pt>
                <c:pt idx="247">
                  <c:v>74575903</c:v>
                </c:pt>
                <c:pt idx="248">
                  <c:v>74728162</c:v>
                </c:pt>
                <c:pt idx="249">
                  <c:v>75118380</c:v>
                </c:pt>
                <c:pt idx="250">
                  <c:v>75264681</c:v>
                </c:pt>
                <c:pt idx="251">
                  <c:v>75716889</c:v>
                </c:pt>
                <c:pt idx="252">
                  <c:v>76105439</c:v>
                </c:pt>
                <c:pt idx="253">
                  <c:v>76277462</c:v>
                </c:pt>
                <c:pt idx="254">
                  <c:v>76630333</c:v>
                </c:pt>
                <c:pt idx="255">
                  <c:v>77069889</c:v>
                </c:pt>
                <c:pt idx="256">
                  <c:v>77349415</c:v>
                </c:pt>
                <c:pt idx="257">
                  <c:v>77641616</c:v>
                </c:pt>
                <c:pt idx="258">
                  <c:v>78020439</c:v>
                </c:pt>
                <c:pt idx="259">
                  <c:v>78134580</c:v>
                </c:pt>
                <c:pt idx="260">
                  <c:v>78625765</c:v>
                </c:pt>
                <c:pt idx="261">
                  <c:v>78829732</c:v>
                </c:pt>
                <c:pt idx="262">
                  <c:v>79125489</c:v>
                </c:pt>
                <c:pt idx="263">
                  <c:v>79333014</c:v>
                </c:pt>
                <c:pt idx="264">
                  <c:v>79603207</c:v>
                </c:pt>
                <c:pt idx="265">
                  <c:v>79871059</c:v>
                </c:pt>
                <c:pt idx="266">
                  <c:v>80342405</c:v>
                </c:pt>
                <c:pt idx="267">
                  <c:v>80722810</c:v>
                </c:pt>
                <c:pt idx="268">
                  <c:v>81029250</c:v>
                </c:pt>
                <c:pt idx="269">
                  <c:v>81239072</c:v>
                </c:pt>
                <c:pt idx="270">
                  <c:v>81432002</c:v>
                </c:pt>
                <c:pt idx="271">
                  <c:v>81907986</c:v>
                </c:pt>
                <c:pt idx="272">
                  <c:v>82224750</c:v>
                </c:pt>
                <c:pt idx="273">
                  <c:v>82680299</c:v>
                </c:pt>
                <c:pt idx="274">
                  <c:v>83162460</c:v>
                </c:pt>
                <c:pt idx="275">
                  <c:v>83594347</c:v>
                </c:pt>
                <c:pt idx="276">
                  <c:v>83936793</c:v>
                </c:pt>
                <c:pt idx="277">
                  <c:v>84400719</c:v>
                </c:pt>
                <c:pt idx="278">
                  <c:v>84841278</c:v>
                </c:pt>
                <c:pt idx="279">
                  <c:v>85009622</c:v>
                </c:pt>
                <c:pt idx="280">
                  <c:v>85155270</c:v>
                </c:pt>
                <c:pt idx="281">
                  <c:v>85574799</c:v>
                </c:pt>
                <c:pt idx="282">
                  <c:v>85826176</c:v>
                </c:pt>
                <c:pt idx="283">
                  <c:v>86175066</c:v>
                </c:pt>
                <c:pt idx="284">
                  <c:v>86643556</c:v>
                </c:pt>
                <c:pt idx="285">
                  <c:v>86816014</c:v>
                </c:pt>
                <c:pt idx="286">
                  <c:v>87123861</c:v>
                </c:pt>
                <c:pt idx="287">
                  <c:v>87374960</c:v>
                </c:pt>
                <c:pt idx="288">
                  <c:v>87753521</c:v>
                </c:pt>
                <c:pt idx="289">
                  <c:v>87943202</c:v>
                </c:pt>
                <c:pt idx="290">
                  <c:v>88420812</c:v>
                </c:pt>
                <c:pt idx="291">
                  <c:v>88563502</c:v>
                </c:pt>
                <c:pt idx="292">
                  <c:v>88882394</c:v>
                </c:pt>
                <c:pt idx="293">
                  <c:v>89261149</c:v>
                </c:pt>
                <c:pt idx="294">
                  <c:v>89432173</c:v>
                </c:pt>
                <c:pt idx="295">
                  <c:v>89701585</c:v>
                </c:pt>
                <c:pt idx="296">
                  <c:v>90042091</c:v>
                </c:pt>
                <c:pt idx="297">
                  <c:v>90246338</c:v>
                </c:pt>
                <c:pt idx="298">
                  <c:v>90403107</c:v>
                </c:pt>
                <c:pt idx="299">
                  <c:v>90727103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A-4E91-BBE0-F78301A83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609168"/>
        <c:axId val="1462610128"/>
      </c:areaChart>
      <c:catAx>
        <c:axId val="146260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10128"/>
        <c:crosses val="autoZero"/>
        <c:auto val="1"/>
        <c:lblAlgn val="ctr"/>
        <c:lblOffset val="100"/>
        <c:noMultiLvlLbl val="0"/>
      </c:catAx>
      <c:valAx>
        <c:axId val="14626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cumlative</a:t>
                </a:r>
                <a:r>
                  <a:rPr lang="en-US" baseline="0"/>
                  <a:t> volume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0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328448</xdr:colOff>
      <xdr:row>2</xdr:row>
      <xdr:rowOff>177501</xdr:rowOff>
    </xdr:from>
    <xdr:to>
      <xdr:col>28</xdr:col>
      <xdr:colOff>99218</xdr:colOff>
      <xdr:row>22</xdr:row>
      <xdr:rowOff>93723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611671-94D0-446D-77D6-AE92B3320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337344</xdr:colOff>
      <xdr:row>22</xdr:row>
      <xdr:rowOff>49609</xdr:rowOff>
    </xdr:from>
    <xdr:to>
      <xdr:col>28</xdr:col>
      <xdr:colOff>79375</xdr:colOff>
      <xdr:row>38</xdr:row>
      <xdr:rowOff>178238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2E507C-3446-BFD4-20F6-312F926DE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eesan" refreshedDate="45888.853153356482" createdVersion="8" refreshedVersion="8" minRefreshableVersion="3" recordCount="300" xr:uid="{61497910-EDA0-471F-AC92-3AEC6D50F9C8}">
  <cacheSource type="worksheet">
    <worksheetSource name="Table3"/>
  </cacheSource>
  <cacheFields count="14">
    <cacheField name="Date" numFmtId="164">
      <sharedItems/>
    </cacheField>
    <cacheField name="Company" numFmtId="0">
      <sharedItems count="5">
        <s v="TCS"/>
        <s v="INFY"/>
        <s v="WIPRO"/>
        <s v="HDFC"/>
        <s v="RELIANCE"/>
      </sharedItems>
    </cacheField>
    <cacheField name="Open" numFmtId="0">
      <sharedItems containsSemiMixedTypes="0" containsString="0" containsNumber="1" minValue="664.9" maxValue="2921.72"/>
    </cacheField>
    <cacheField name="High" numFmtId="0">
      <sharedItems containsSemiMixedTypes="0" containsString="0" containsNumber="1" minValue="674.41" maxValue="2933.13"/>
    </cacheField>
    <cacheField name="Low" numFmtId="0">
      <sharedItems containsSemiMixedTypes="0" containsString="0" containsNumber="1" minValue="648.57000000000005" maxValue="2916.34"/>
    </cacheField>
    <cacheField name="Close" numFmtId="0">
      <sharedItems containsSemiMixedTypes="0" containsString="0" containsNumber="1" minValue="652.79" maxValue="2920.44"/>
    </cacheField>
    <cacheField name="Adj Close" numFmtId="0">
      <sharedItems containsSemiMixedTypes="0" containsString="0" containsNumber="1" minValue="653.55999999999995" maxValue="2922.34"/>
    </cacheField>
    <cacheField name="Volume" numFmtId="0">
      <sharedItems containsSemiMixedTypes="0" containsString="0" containsNumber="1" containsInteger="1" minValue="100814" maxValue="499244"/>
    </cacheField>
    <cacheField name="Daily return" numFmtId="0">
      <sharedItems containsSemiMixedTypes="0" containsString="0" containsNumber="1" minValue="-2.3529587746065964E-2" maxValue="1.6184049260938145E-2"/>
    </cacheField>
    <cacheField name="Moving avg 7 days" numFmtId="0">
      <sharedItems containsSemiMixedTypes="0" containsString="0" containsNumber="1" minValue="675.44" maxValue="2895.3537500000002"/>
    </cacheField>
    <cacheField name="Moving avg 14 dsys" numFmtId="0">
      <sharedItems containsSemiMixedTypes="0" containsString="0" containsNumber="1" minValue="680.49266666666676" maxValue="2893.469333333333"/>
    </cacheField>
    <cacheField name="Moving avg 30 days" numFmtId="0">
      <sharedItems containsSemiMixedTypes="0" containsString="0" containsNumber="1" minValue="681.94032258064522" maxValue="2891.182580645162"/>
    </cacheField>
    <cacheField name="Volatility" numFmtId="0">
      <sharedItems containsSemiMixedTypes="0" containsString="0" containsNumber="1" minValue="4.0342391341956461E-3" maxValue="5.8376888862264546E-2"/>
    </cacheField>
    <cacheField name="month" numFmtId="0">
      <sharedItems count="3">
        <s v="2025-03"/>
        <s v="2025-04"/>
        <s v="2025-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eesan" refreshedDate="45888.909820486107" createdVersion="8" refreshedVersion="8" minRefreshableVersion="3" recordCount="300" xr:uid="{083ED79B-E35F-43ED-B84B-E97E3DE1106C}">
  <cacheSource type="worksheet">
    <worksheetSource name="Table5"/>
  </cacheSource>
  <cacheFields count="5">
    <cacheField name="Date" numFmtId="164">
      <sharedItems/>
    </cacheField>
    <cacheField name="Company" numFmtId="0">
      <sharedItems count="5">
        <s v="HDFC"/>
        <s v="INFY"/>
        <s v="RELIANCE"/>
        <s v="TCS"/>
        <s v="WIPRO"/>
      </sharedItems>
    </cacheField>
    <cacheField name="Close" numFmtId="0">
      <sharedItems containsSemiMixedTypes="0" containsString="0" containsNumber="1" minValue="652.79" maxValue="2920.44"/>
    </cacheField>
    <cacheField name="runnig max" numFmtId="0">
      <sharedItems containsSemiMixedTypes="0" containsString="0" containsNumber="1" minValue="693.24" maxValue="2920.44"/>
    </cacheField>
    <cacheField name="Dropdown" numFmtId="10">
      <sharedItems containsSemiMixedTypes="0" containsString="0" containsNumber="1" minValue="-6.8347890620540031E-2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2025-03-07"/>
    <x v="0"/>
    <n v="2892.97"/>
    <n v="2908.95"/>
    <n v="2878.99"/>
    <n v="2893.28"/>
    <n v="2891.9"/>
    <n v="114835"/>
    <n v="1.0715631340815846E-4"/>
    <n v="2886.2537499999999"/>
    <n v="2887.3286666666668"/>
    <n v="2887.4512903225805"/>
    <n v="1.0356139192594475E-2"/>
    <x v="0"/>
  </r>
  <r>
    <s v="2025-03-10"/>
    <x v="0"/>
    <n v="2890.79"/>
    <n v="2906.41"/>
    <n v="2885.48"/>
    <n v="2901"/>
    <n v="2902.88"/>
    <n v="327903"/>
    <n v="3.5319065030666483E-3"/>
    <n v="2885.3775000000001"/>
    <n v="2887.4233333333332"/>
    <n v="2887.1261290322582"/>
    <n v="7.2402353681864946E-3"/>
    <x v="0"/>
  </r>
  <r>
    <s v="2025-03-11"/>
    <x v="0"/>
    <n v="2883.31"/>
    <n v="2891.04"/>
    <n v="2875.56"/>
    <n v="2886.01"/>
    <n v="2885.23"/>
    <n v="284736"/>
    <n v="9.3642376296696264E-4"/>
    <n v="2884.9712500000001"/>
    <n v="2886.6293333333333"/>
    <n v="2886.7722580645168"/>
    <n v="5.3688295743433822E-3"/>
    <x v="0"/>
  </r>
  <r>
    <s v="2025-03-12"/>
    <x v="0"/>
    <n v="2861.87"/>
    <n v="2871.24"/>
    <n v="2847.69"/>
    <n v="2864.22"/>
    <n v="2862.78"/>
    <n v="488073"/>
    <n v="8.211414215180666E-4"/>
    <n v="2885.2575000000002"/>
    <n v="2888.8513333333331"/>
    <n v="2886.8051612903228"/>
    <n v="8.2288853092557408E-3"/>
    <x v="0"/>
  </r>
  <r>
    <s v="2025-03-13"/>
    <x v="0"/>
    <n v="2878.92"/>
    <n v="2890.76"/>
    <n v="2862.14"/>
    <n v="2869.39"/>
    <n v="2868.19"/>
    <n v="390916"/>
    <n v="-3.3102691287011099E-3"/>
    <n v="2886.7037499999997"/>
    <n v="2890.5026666666668"/>
    <n v="2886.9870967741936"/>
    <n v="9.9412279604853011E-3"/>
    <x v="0"/>
  </r>
  <r>
    <s v="2025-03-14"/>
    <x v="0"/>
    <n v="2913.59"/>
    <n v="2919.29"/>
    <n v="2899.48"/>
    <n v="2911.36"/>
    <n v="2910.04"/>
    <n v="130980"/>
    <n v="-7.6537879385912843E-4"/>
    <n v="2888.06"/>
    <n v="2891.1193333333335"/>
    <n v="2887.3138709677423"/>
    <n v="6.7991721553135286E-3"/>
    <x v="0"/>
  </r>
  <r>
    <s v="2025-03-17"/>
    <x v="0"/>
    <n v="2881.99"/>
    <n v="2897.25"/>
    <n v="2870.39"/>
    <n v="2882.36"/>
    <n v="2880.85"/>
    <n v="424017"/>
    <n v="1.2838351278121911E-4"/>
    <n v="2886.4349999999999"/>
    <n v="2889.0406666666672"/>
    <n v="2886.8309677419361"/>
    <n v="9.3199490629738927E-3"/>
    <x v="0"/>
  </r>
  <r>
    <s v="2025-03-18"/>
    <x v="0"/>
    <n v="2882.66"/>
    <n v="2901.3"/>
    <n v="2873.78"/>
    <n v="2887.51"/>
    <n v="2888.16"/>
    <n v="124549"/>
    <n v="1.6824738262578188E-3"/>
    <n v="2888.5075000000002"/>
    <n v="2889.4513333333339"/>
    <n v="2887.2700000000018"/>
    <n v="9.5467380821879725E-3"/>
    <x v="0"/>
  </r>
  <r>
    <s v="2025-03-19"/>
    <x v="0"/>
    <n v="2890.09"/>
    <n v="2903.29"/>
    <n v="2882.32"/>
    <n v="2883.01"/>
    <n v="2884.89"/>
    <n v="237271"/>
    <n v="-2.4497506998051709E-3"/>
    <n v="2889.1525000000001"/>
    <n v="2888.8486666666672"/>
    <n v="2888.0741935483884"/>
    <n v="7.2558294032365077E-3"/>
    <x v="0"/>
  </r>
  <r>
    <s v="2025-03-20"/>
    <x v="0"/>
    <n v="2890.19"/>
    <n v="2909.02"/>
    <n v="2883.86"/>
    <n v="2900.85"/>
    <n v="2899.63"/>
    <n v="447443"/>
    <n v="3.6883388289350714E-3"/>
    <n v="2889.9125000000004"/>
    <n v="2887.4086666666672"/>
    <n v="2887.8187096774204"/>
    <n v="8.7053100315203687E-3"/>
    <x v="0"/>
  </r>
  <r>
    <s v="2025-03-21"/>
    <x v="0"/>
    <n v="2886.84"/>
    <n v="2897.67"/>
    <n v="2877.77"/>
    <n v="2886.21"/>
    <n v="2887.52"/>
    <n v="454936"/>
    <n v="-2.18231699713219E-4"/>
    <n v="2892.2787500000004"/>
    <n v="2886.5320000000006"/>
    <n v="2887.91806451613"/>
    <n v="6.8933505147497232E-3"/>
    <x v="0"/>
  </r>
  <r>
    <s v="2025-03-24"/>
    <x v="0"/>
    <n v="2874.53"/>
    <n v="2887.67"/>
    <n v="2867.42"/>
    <n v="2873.14"/>
    <n v="2874.35"/>
    <n v="221976"/>
    <n v="-4.8355731197807203E-4"/>
    <n v="2892.2825000000003"/>
    <n v="2885.8780000000002"/>
    <n v="2888.1393548387109"/>
    <n v="7.044629904714857E-3"/>
    <x v="0"/>
  </r>
  <r>
    <s v="2025-03-25"/>
    <x v="0"/>
    <n v="2881.23"/>
    <n v="2886.31"/>
    <n v="2864"/>
    <n v="2878.21"/>
    <n v="2879.04"/>
    <n v="138435"/>
    <n v="-1.0481634579675978E-3"/>
    <n v="2892.6687499999998"/>
    <n v="2887.6440000000002"/>
    <n v="2888.7770967741944"/>
    <n v="7.7432207772374804E-3"/>
    <x v="0"/>
  </r>
  <r>
    <s v="2025-03-26"/>
    <x v="0"/>
    <n v="2896.94"/>
    <n v="2903.05"/>
    <n v="2886.56"/>
    <n v="2898.58"/>
    <n v="2897.04"/>
    <n v="412649"/>
    <n v="5.6611458987755104E-4"/>
    <n v="2892.6462499999998"/>
    <n v="2887.4006666666664"/>
    <n v="2888.9316129032263"/>
    <n v="5.69221316285468E-3"/>
    <x v="0"/>
  </r>
  <r>
    <s v="2025-03-27"/>
    <x v="0"/>
    <n v="2891.31"/>
    <n v="2901.27"/>
    <n v="2885.36"/>
    <n v="2898.19"/>
    <n v="2897.43"/>
    <n v="274538"/>
    <n v="2.3795442204399076E-3"/>
    <n v="2891.3924999999999"/>
    <n v="2887.53"/>
    <n v="2888.4532258064523"/>
    <n v="5.5026960097671485E-3"/>
    <x v="0"/>
  </r>
  <r>
    <s v="2025-03-28"/>
    <x v="0"/>
    <n v="2899.8"/>
    <n v="2914.36"/>
    <n v="2881.49"/>
    <n v="2893.43"/>
    <n v="2893.32"/>
    <n v="182816"/>
    <n v="-2.1967032209119059E-3"/>
    <n v="2889.1037499999998"/>
    <n v="2888.6146666666664"/>
    <n v="2887.9922580645166"/>
    <n v="1.1335264501000187E-2"/>
    <x v="0"/>
  </r>
  <r>
    <s v="2025-03-31"/>
    <x v="0"/>
    <n v="2891.62"/>
    <n v="2908.03"/>
    <n v="2878.2"/>
    <n v="2889.89"/>
    <n v="2890.97"/>
    <n v="474614"/>
    <n v="-5.9828054861981112E-4"/>
    <n v="2885.35"/>
    <n v="2887.182666666667"/>
    <n v="2887.7558064516138"/>
    <n v="1.0316016627357807E-2"/>
    <x v="0"/>
  </r>
  <r>
    <s v="2025-04-01"/>
    <x v="0"/>
    <n v="2921.72"/>
    <n v="2933.13"/>
    <n v="2916.34"/>
    <n v="2920.13"/>
    <n v="2918.56"/>
    <n v="468262"/>
    <n v="-5.4419999178555471E-4"/>
    <n v="2884.7887500000002"/>
    <n v="2886.5726666666669"/>
    <n v="2887.8119354838718"/>
    <n v="5.7466150075982519E-3"/>
    <x v="1"/>
  </r>
  <r>
    <s v="2025-04-02"/>
    <x v="0"/>
    <n v="2888.87"/>
    <n v="2898.59"/>
    <n v="2876.24"/>
    <n v="2885.92"/>
    <n v="2887.55"/>
    <n v="184884"/>
    <n v="-1.0211605229725872E-3"/>
    <n v="2879.6824999999999"/>
    <n v="2884.7959999999994"/>
    <n v="2887.012580645162"/>
    <n v="7.73658904692851E-3"/>
    <x v="1"/>
  </r>
  <r>
    <s v="2025-04-03"/>
    <x v="0"/>
    <n v="2882.66"/>
    <n v="2898.99"/>
    <n v="2874.23"/>
    <n v="2879.13"/>
    <n v="2877.44"/>
    <n v="480994"/>
    <n v="-1.2245634240596343E-3"/>
    <n v="2881.34375"/>
    <n v="2884.7093333333332"/>
    <n v="2887.2609677419359"/>
    <n v="8.5892890594103238E-3"/>
    <x v="1"/>
  </r>
  <r>
    <s v="2025-04-04"/>
    <x v="0"/>
    <n v="2879.92"/>
    <n v="2898.87"/>
    <n v="2862.8"/>
    <n v="2878.33"/>
    <n v="2878.86"/>
    <n v="308605"/>
    <n v="-5.5209866940753407E-4"/>
    <n v="2881.0875000000001"/>
    <n v="2884.1079999999997"/>
    <n v="2888.450967741936"/>
    <n v="1.2524653462596081E-2"/>
    <x v="1"/>
  </r>
  <r>
    <s v="2025-04-07"/>
    <x v="0"/>
    <n v="2890.57"/>
    <n v="2898.37"/>
    <n v="2872.18"/>
    <n v="2886.85"/>
    <n v="2887.01"/>
    <n v="436427"/>
    <n v="-1.286943405625968E-3"/>
    <n v="2883.6025"/>
    <n v="2884.0719999999997"/>
    <n v="2888.7877419354841"/>
    <n v="9.0604967186402874E-3"/>
    <x v="1"/>
  </r>
  <r>
    <s v="2025-04-08"/>
    <x v="0"/>
    <n v="2880.98"/>
    <n v="2889.4"/>
    <n v="2869.57"/>
    <n v="2877.85"/>
    <n v="2879.12"/>
    <n v="180215"/>
    <n v="-1.0864358655735581E-3"/>
    <n v="2886.9387499999998"/>
    <n v="2884.6093333333333"/>
    <n v="2888.630322580646"/>
    <n v="6.8830745093683143E-3"/>
    <x v="1"/>
  </r>
  <r>
    <s v="2025-04-09"/>
    <x v="0"/>
    <n v="2861.45"/>
    <n v="2869.78"/>
    <n v="2854.65"/>
    <n v="2863.94"/>
    <n v="2863.29"/>
    <n v="312532"/>
    <n v="8.7018819130169555E-4"/>
    <n v="2886.0287499999999"/>
    <n v="2885.6319999999996"/>
    <n v="2888.5877419354842"/>
    <n v="5.2875290499572276E-3"/>
    <x v="1"/>
  </r>
  <r>
    <s v="2025-04-10"/>
    <x v="0"/>
    <n v="2886.39"/>
    <n v="2899.17"/>
    <n v="2870.84"/>
    <n v="2887.03"/>
    <n v="2886.48"/>
    <n v="335254"/>
    <n v="2.2173025821192819E-4"/>
    <n v="2888.3449999999998"/>
    <n v="2888.9519999999998"/>
    <n v="2889.3816129032261"/>
    <n v="9.815028461157338E-3"/>
    <x v="1"/>
  </r>
  <r>
    <s v="2025-04-11"/>
    <x v="0"/>
    <n v="2887.81"/>
    <n v="2897.32"/>
    <n v="2878.54"/>
    <n v="2879.56"/>
    <n v="2877.71"/>
    <n v="124956"/>
    <n v="-2.8568361491926406E-3"/>
    <n v="2889.0237499999998"/>
    <n v="2888.3180000000002"/>
    <n v="2890.5383870967744"/>
    <n v="6.5031979250713169E-3"/>
    <x v="1"/>
  </r>
  <r>
    <s v="2025-04-14"/>
    <x v="0"/>
    <n v="2888.6"/>
    <n v="2894.37"/>
    <n v="2879.42"/>
    <n v="2899.21"/>
    <n v="2900.84"/>
    <n v="292994"/>
    <n v="3.6730596136537175E-3"/>
    <n v="2890.0912499999999"/>
    <n v="2889.9846666666663"/>
    <n v="2890.3664516129033"/>
    <n v="5.1755175517551131E-3"/>
    <x v="1"/>
  </r>
  <r>
    <s v="2025-04-15"/>
    <x v="0"/>
    <n v="2882.25"/>
    <n v="2894.59"/>
    <n v="2862.47"/>
    <n v="2876.42"/>
    <n v="2875.39"/>
    <n v="469445"/>
    <n v="-2.0227253014138006E-3"/>
    <n v="2886.0387499999997"/>
    <n v="2889.5539999999996"/>
    <n v="2889.9429032258067"/>
    <n v="1.1144071471940444E-2"/>
    <x v="1"/>
  </r>
  <r>
    <s v="2025-04-16"/>
    <x v="0"/>
    <n v="2899.43"/>
    <n v="2907.99"/>
    <n v="2883.51"/>
    <n v="2899.51"/>
    <n v="2898.98"/>
    <n v="332170"/>
    <n v="2.7591630079147278E-5"/>
    <n v="2886.4049999999997"/>
    <n v="2890.802666666666"/>
    <n v="2891.1348387096773"/>
    <n v="8.4430388041786021E-3"/>
    <x v="1"/>
  </r>
  <r>
    <s v="2025-04-17"/>
    <x v="0"/>
    <n v="2902.05"/>
    <n v="2915.09"/>
    <n v="2895.7"/>
    <n v="2912.36"/>
    <n v="2913.7"/>
    <n v="348322"/>
    <n v="3.552661049947432E-3"/>
    <n v="2885.9162500000002"/>
    <n v="2889.7926666666672"/>
    <n v="2891.182580645162"/>
    <n v="6.6814837787082674E-3"/>
    <x v="1"/>
  </r>
  <r>
    <s v="2025-04-18"/>
    <x v="0"/>
    <n v="2878.09"/>
    <n v="2883.7"/>
    <n v="2864.23"/>
    <n v="2871.13"/>
    <n v="2871.84"/>
    <n v="482530"/>
    <n v="-2.4182704501944123E-3"/>
    <n v="2883.51125"/>
    <n v="2887.6933333333336"/>
    <n v="2837.8551612903229"/>
    <n v="6.7649031128282295E-3"/>
    <x v="1"/>
  </r>
  <r>
    <s v="2025-04-21"/>
    <x v="0"/>
    <n v="2888.09"/>
    <n v="2896.49"/>
    <n v="2873.41"/>
    <n v="2883.12"/>
    <n v="2881.82"/>
    <n v="304825"/>
    <n v="-1.7208604994997574E-3"/>
    <n v="2888.6675"/>
    <n v="2888.4466666666672"/>
    <n v="2785.793548387097"/>
    <n v="7.9914407099501497E-3"/>
    <x v="1"/>
  </r>
  <r>
    <s v="2025-04-22"/>
    <x v="0"/>
    <n v="2878.81"/>
    <n v="2897.86"/>
    <n v="2871.75"/>
    <n v="2892.55"/>
    <n v="2891.91"/>
    <n v="320916"/>
    <n v="4.7728054300215147E-3"/>
    <n v="2888.0612500000002"/>
    <n v="2888.7246666666665"/>
    <n v="2732.9651612903226"/>
    <n v="9.0697197800480509E-3"/>
    <x v="1"/>
  </r>
  <r>
    <s v="2025-04-23"/>
    <x v="0"/>
    <n v="2884.43"/>
    <n v="2899.33"/>
    <n v="2867.17"/>
    <n v="2886.03"/>
    <n v="2886.25"/>
    <n v="425377"/>
    <n v="5.5470231553560461E-4"/>
    <n v="2889.4112500000001"/>
    <n v="2888.7779999999998"/>
    <n v="2680.08870967742"/>
    <n v="1.1149516542263066E-2"/>
    <x v="1"/>
  </r>
  <r>
    <s v="2025-04-24"/>
    <x v="0"/>
    <n v="2871.93"/>
    <n v="2878.33"/>
    <n v="2853.47"/>
    <n v="2866.82"/>
    <n v="2868.42"/>
    <n v="260348"/>
    <n v="-1.7792912779906449E-3"/>
    <n v="2890.4275000000002"/>
    <n v="2889.2799999999997"/>
    <n v="2626.9938709677422"/>
    <n v="8.6561998377398218E-3"/>
    <x v="1"/>
  </r>
  <r>
    <s v="2025-04-25"/>
    <x v="0"/>
    <n v="2873.6"/>
    <n v="2883.84"/>
    <n v="2857.71"/>
    <n v="2876.73"/>
    <n v="2878.32"/>
    <n v="207164"/>
    <n v="1.0892260579064969E-3"/>
    <n v="2893.64"/>
    <n v="2891.0686666666661"/>
    <n v="2575.2087096774194"/>
    <n v="9.0931236080178564E-3"/>
    <x v="1"/>
  </r>
  <r>
    <s v="2025-04-28"/>
    <x v="0"/>
    <n v="2890.5"/>
    <n v="2905.13"/>
    <n v="2884.24"/>
    <n v="2896.42"/>
    <n v="2895.07"/>
    <n v="262889"/>
    <n v="2.0480885659920679E-3"/>
    <n v="2894.3287499999997"/>
    <n v="2893.469333333333"/>
    <n v="2523.3780645161291"/>
    <n v="7.2271233350632508E-3"/>
    <x v="1"/>
  </r>
  <r>
    <s v="2025-04-29"/>
    <x v="0"/>
    <n v="2890.26"/>
    <n v="2895.4"/>
    <n v="2883.74"/>
    <n v="2893.81"/>
    <n v="2894.46"/>
    <n v="123914"/>
    <n v="1.2282632012343966E-3"/>
    <n v="2892.7212499999996"/>
    <n v="2893.0846666666666"/>
    <n v="2470.1280645161296"/>
    <n v="4.0342391341956461E-3"/>
    <x v="1"/>
  </r>
  <r>
    <s v="2025-04-30"/>
    <x v="0"/>
    <n v="2906.66"/>
    <n v="2921.44"/>
    <n v="2898.3"/>
    <n v="2912.24"/>
    <n v="2913.09"/>
    <n v="232532"/>
    <n v="1.9197291736907404E-3"/>
    <n v="2891.3062499999996"/>
    <n v="2892.2626666666665"/>
    <n v="2417.0338709677421"/>
    <n v="7.9610274335491157E-3"/>
    <x v="1"/>
  </r>
  <r>
    <s v="2025-05-01"/>
    <x v="0"/>
    <n v="2880.49"/>
    <n v="2896.69"/>
    <n v="2865.75"/>
    <n v="2875.57"/>
    <n v="2876.97"/>
    <n v="248274"/>
    <n v="-1.708042728841141E-3"/>
    <n v="2887.9187499999998"/>
    <n v="2889.9100000000003"/>
    <n v="2363.81"/>
    <n v="1.0741228054949004E-2"/>
    <x v="2"/>
  </r>
  <r>
    <s v="2025-05-02"/>
    <x v="0"/>
    <n v="2896.22"/>
    <n v="2902.63"/>
    <n v="2885.7"/>
    <n v="2903.65"/>
    <n v="2902.71"/>
    <n v="419864"/>
    <n v="2.5654128484715565E-3"/>
    <n v="2889.8862499999996"/>
    <n v="2890.6386666666667"/>
    <n v="2311.9190322580644"/>
    <n v="5.845550407082436E-3"/>
    <x v="2"/>
  </r>
  <r>
    <s v="2025-05-05"/>
    <x v="0"/>
    <n v="2896.79"/>
    <n v="2911.26"/>
    <n v="2879.87"/>
    <n v="2894.37"/>
    <n v="2894.38"/>
    <n v="349970"/>
    <n v="-8.3540746826662364E-4"/>
    <n v="2888.7699999999995"/>
    <n v="2891.947333333334"/>
    <n v="2258.7148387096777"/>
    <n v="1.0836132408631736E-2"/>
    <x v="2"/>
  </r>
  <r>
    <s v="2025-05-06"/>
    <x v="0"/>
    <n v="2885.35"/>
    <n v="2893.28"/>
    <n v="2869.51"/>
    <n v="2895"/>
    <n v="2894.12"/>
    <n v="163464"/>
    <n v="3.3444816053512022E-3"/>
    <n v="2888.8787499999999"/>
    <n v="2890.4806666666668"/>
    <n v="2206.0038709677419"/>
    <n v="8.2381686797095618E-3"/>
    <x v="2"/>
  </r>
  <r>
    <s v="2025-05-07"/>
    <x v="0"/>
    <n v="2888.42"/>
    <n v="2896.08"/>
    <n v="2869.31"/>
    <n v="2882.01"/>
    <n v="2883.83"/>
    <n v="101631"/>
    <n v="-2.2192063481072193E-3"/>
    <n v="2891.4049999999997"/>
    <n v="2890.0533333333324"/>
    <n v="2153.1403225806444"/>
    <n v="9.2680427361671713E-3"/>
    <x v="2"/>
  </r>
  <r>
    <s v="2025-05-08"/>
    <x v="0"/>
    <n v="2885.77"/>
    <n v="2891"/>
    <n v="2866.85"/>
    <n v="2882.5"/>
    <n v="2882.21"/>
    <n v="209479"/>
    <n v="-1.1331464392519092E-3"/>
    <n v="2892.0887500000003"/>
    <n v="2891.9539999999997"/>
    <n v="2100.7570967741931"/>
    <n v="8.368650308236655E-3"/>
    <x v="2"/>
  </r>
  <r>
    <s v="2025-05-09"/>
    <x v="0"/>
    <n v="2883.48"/>
    <n v="2894.26"/>
    <n v="2865.71"/>
    <n v="2883.87"/>
    <n v="2883.14"/>
    <n v="493922"/>
    <n v="1.3525323567351694E-4"/>
    <n v="2892.0787500000001"/>
    <n v="2893.1706666666669"/>
    <n v="2047.5335483870965"/>
    <n v="9.9012304576415241E-3"/>
    <x v="2"/>
  </r>
  <r>
    <s v="2025-05-12"/>
    <x v="0"/>
    <n v="2890.14"/>
    <n v="2909.18"/>
    <n v="2874.7"/>
    <n v="2885.71"/>
    <n v="2885.99"/>
    <n v="424752"/>
    <n v="-1.5327977191415766E-3"/>
    <n v="2891.4112500000001"/>
    <n v="2784.9980000000005"/>
    <n v="1995.128709677419"/>
    <n v="1.1930217913319085E-2"/>
    <x v="2"/>
  </r>
  <r>
    <s v="2025-05-13"/>
    <x v="0"/>
    <n v="2890.31"/>
    <n v="2910.16"/>
    <n v="2883.21"/>
    <n v="2892.64"/>
    <n v="2892.71"/>
    <n v="273958"/>
    <n v="8.0614190173369891E-4"/>
    <n v="2891.65"/>
    <n v="2676.4606666666668"/>
    <n v="1942.1758064516123"/>
    <n v="9.3242593355037408E-3"/>
    <x v="2"/>
  </r>
  <r>
    <s v="2025-05-14"/>
    <x v="0"/>
    <n v="2891.58"/>
    <n v="2907.04"/>
    <n v="2876.04"/>
    <n v="2894.34"/>
    <n v="2893.78"/>
    <n v="356538"/>
    <n v="9.544954661466113E-4"/>
    <n v="2895.3537500000002"/>
    <n v="2566.556"/>
    <n v="1889.4280645161284"/>
    <n v="1.0720782409616887E-2"/>
    <x v="2"/>
  </r>
  <r>
    <s v="2025-05-15"/>
    <x v="0"/>
    <n v="2897.05"/>
    <n v="2914.2"/>
    <n v="2879.04"/>
    <n v="2893.6"/>
    <n v="2895.25"/>
    <n v="379100"/>
    <n v="-1.190866571167316E-3"/>
    <n v="2892.6787500000005"/>
    <n v="2457.1533333333336"/>
    <n v="1836.3993548387091"/>
    <n v="1.2136483664417202E-2"/>
    <x v="2"/>
  </r>
  <r>
    <s v="2025-05-16"/>
    <x v="0"/>
    <n v="2893.15"/>
    <n v="2910.12"/>
    <n v="2878.4"/>
    <n v="2913.52"/>
    <n v="2914.33"/>
    <n v="137012"/>
    <n v="7.0407687123031611E-3"/>
    <n v="2891.7362500000004"/>
    <n v="2346.8240000000001"/>
    <n v="1782.7916129032253"/>
    <n v="1.0963828353178991E-2"/>
    <x v="2"/>
  </r>
  <r>
    <s v="2025-05-19"/>
    <x v="0"/>
    <n v="2890.32"/>
    <n v="2900.39"/>
    <n v="2879.69"/>
    <n v="2890.92"/>
    <n v="2889.3"/>
    <n v="147218"/>
    <n v="2.0758947106199626E-4"/>
    <n v="2891.4874999999997"/>
    <n v="2236.7406666666666"/>
    <n v="1729.0774193548382"/>
    <n v="7.1618367516398931E-3"/>
    <x v="2"/>
  </r>
  <r>
    <s v="2025-05-20"/>
    <x v="0"/>
    <n v="2883.15"/>
    <n v="2895.13"/>
    <n v="2870.01"/>
    <n v="2882.98"/>
    <n v="2882.13"/>
    <n v="480225"/>
    <n v="-5.8963286682993518E-5"/>
    <n v="2892.8824999999997"/>
    <n v="2128.8919999999998"/>
    <n v="1676.4216129032254"/>
    <n v="8.7126927145656282E-3"/>
    <x v="2"/>
  </r>
  <r>
    <s v="2025-05-21"/>
    <x v="0"/>
    <n v="2883.85"/>
    <n v="2889.41"/>
    <n v="2866.51"/>
    <n v="2878.36"/>
    <n v="2877.8"/>
    <n v="424384"/>
    <n v="-1.9037051164241489E-3"/>
    <n v="2690.1849999999999"/>
    <n v="2019.7046666666668"/>
    <n v="1623.6932258064512"/>
    <n v="7.9407736186000097E-3"/>
    <x v="2"/>
  </r>
  <r>
    <s v="2025-05-22"/>
    <x v="0"/>
    <n v="2888.64"/>
    <n v="2905.19"/>
    <n v="2880.4"/>
    <n v="2887.41"/>
    <n v="2887.9"/>
    <n v="141348"/>
    <n v="-4.2580591558657993E-4"/>
    <n v="2487.7012499999996"/>
    <n v="1911.0873333333332"/>
    <n v="1571.8416129032257"/>
    <n v="8.581893209261093E-3"/>
    <x v="2"/>
  </r>
  <r>
    <s v="2025-05-23"/>
    <x v="0"/>
    <n v="2911.89"/>
    <n v="2926.45"/>
    <n v="2896"/>
    <n v="2920.44"/>
    <n v="2922.34"/>
    <n v="232136"/>
    <n v="2.9362372891833764E-3"/>
    <n v="2282.2312499999998"/>
    <n v="1802.770666666667"/>
    <n v="1519.3890322580646"/>
    <n v="1.0457125784284371E-2"/>
    <x v="2"/>
  </r>
  <r>
    <s v="2025-05-26"/>
    <x v="0"/>
    <n v="2867.75"/>
    <n v="2884.68"/>
    <n v="2858.69"/>
    <n v="2872.62"/>
    <n v="2872.38"/>
    <n v="456826"/>
    <n v="1.6981954493940862E-3"/>
    <n v="2073.53125"/>
    <n v="1692.5046666666667"/>
    <n v="1465.5903225806455"/>
    <n v="9.0628541539533713E-3"/>
    <x v="2"/>
  </r>
  <r>
    <s v="2025-05-27"/>
    <x v="0"/>
    <n v="2880.28"/>
    <n v="2887.88"/>
    <n v="2872.93"/>
    <n v="2888.71"/>
    <n v="2887.71"/>
    <n v="483496"/>
    <n v="2.9267987834515519E-3"/>
    <n v="1869.5224999999998"/>
    <n v="1584.5713333333333"/>
    <n v="1414.259032258065"/>
    <n v="5.190467593428511E-3"/>
    <x v="2"/>
  </r>
  <r>
    <s v="2025-05-28"/>
    <x v="0"/>
    <n v="2905.65"/>
    <n v="2920.55"/>
    <n v="2896.45"/>
    <n v="2910.52"/>
    <n v="2912.34"/>
    <n v="301006"/>
    <n v="1.6760449469137339E-3"/>
    <n v="1666.4437499999999"/>
    <n v="1476.0800000000002"/>
    <n v="1361.8706451612904"/>
    <n v="8.2941854662469203E-3"/>
    <x v="2"/>
  </r>
  <r>
    <s v="2025-05-29"/>
    <x v="0"/>
    <n v="2891.77"/>
    <n v="2905.95"/>
    <n v="2880.48"/>
    <n v="2901.47"/>
    <n v="2900.46"/>
    <n v="140412"/>
    <n v="3.3543469916348183E-3"/>
    <n v="1461.3475000000001"/>
    <n v="1365.614"/>
    <n v="1308.54"/>
    <n v="8.8077544203030676E-3"/>
    <x v="2"/>
  </r>
  <r>
    <s v="2025-03-07"/>
    <x v="1"/>
    <n v="1266.67"/>
    <n v="1271.8900000000001"/>
    <n v="1259.93"/>
    <n v="1262.3699999999999"/>
    <n v="1260.55"/>
    <n v="192803"/>
    <n v="-3.3947279086109102E-3"/>
    <n v="1254.33"/>
    <n v="1256.2466666666667"/>
    <n v="1254.8419354838707"/>
    <n v="9.4420804155778814E-3"/>
    <x v="0"/>
  </r>
  <r>
    <s v="2025-03-10"/>
    <x v="1"/>
    <n v="1251.6300000000001"/>
    <n v="1258.0999999999999"/>
    <n v="1239.26"/>
    <n v="1258.04"/>
    <n v="1257.93"/>
    <n v="165944"/>
    <n v="5.1213217963774066E-3"/>
    <n v="1252.8287500000001"/>
    <n v="1254.3620000000001"/>
    <n v="1254.0596774193548"/>
    <n v="1.5052371707293623E-2"/>
    <x v="0"/>
  </r>
  <r>
    <s v="2025-03-11"/>
    <x v="1"/>
    <n v="1251.47"/>
    <n v="1262.45"/>
    <n v="1237.23"/>
    <n v="1243.5999999999999"/>
    <n v="1244.1400000000001"/>
    <n v="250957"/>
    <n v="-6.2886046009893309E-3"/>
    <n v="1253.48125"/>
    <n v="1254.4060000000002"/>
    <n v="1253.76"/>
    <n v="2.0152300894148503E-2"/>
    <x v="0"/>
  </r>
  <r>
    <s v="2025-03-12"/>
    <x v="1"/>
    <n v="1252.72"/>
    <n v="1267.1099999999999"/>
    <n v="1240.17"/>
    <n v="1251.31"/>
    <n v="1252.74"/>
    <n v="474764"/>
    <n v="-1.1255508014560969E-3"/>
    <n v="1256.5074999999999"/>
    <n v="1254.4266666666667"/>
    <n v="1253.9206451612904"/>
    <n v="2.1505204674627871E-2"/>
    <x v="0"/>
  </r>
  <r>
    <s v="2025-03-13"/>
    <x v="1"/>
    <n v="1244.18"/>
    <n v="1250.24"/>
    <n v="1229.54"/>
    <n v="1242.2"/>
    <n v="1240.31"/>
    <n v="180880"/>
    <n v="-1.5914096031121043E-3"/>
    <n v="1256.5875000000001"/>
    <n v="1254.7460000000001"/>
    <n v="1253.7016129032261"/>
    <n v="1.6637464032535521E-2"/>
    <x v="0"/>
  </r>
  <r>
    <s v="2025-03-14"/>
    <x v="1"/>
    <n v="1260.47"/>
    <n v="1274.0999999999999"/>
    <n v="1249.6500000000001"/>
    <n v="1262.51"/>
    <n v="1263.08"/>
    <n v="188539"/>
    <n v="1.6184439137781649E-3"/>
    <n v="1259.0912499999999"/>
    <n v="1255.3846666666666"/>
    <n v="1253.3064516129029"/>
    <n v="1.9397526319547324E-2"/>
    <x v="0"/>
  </r>
  <r>
    <s v="2025-03-17"/>
    <x v="1"/>
    <n v="1275.33"/>
    <n v="1294.45"/>
    <n v="1264.54"/>
    <n v="1269.73"/>
    <n v="1271.57"/>
    <n v="277740"/>
    <n v="-4.3910203633568644E-3"/>
    <n v="1258.125"/>
    <n v="1253.4066666666668"/>
    <n v="1253.0251612903226"/>
    <n v="2.3452753405001123E-2"/>
    <x v="0"/>
  </r>
  <r>
    <s v="2025-03-18"/>
    <x v="1"/>
    <n v="1249.1400000000001"/>
    <n v="1258.92"/>
    <n v="1231.47"/>
    <n v="1246.23"/>
    <n v="1244.32"/>
    <n v="421733"/>
    <n v="-2.3296027667035575E-3"/>
    <n v="1256.6725000000001"/>
    <n v="1251.9146666666668"/>
    <n v="1251.9135483870969"/>
    <n v="2.1975118881790708E-2"/>
    <x v="0"/>
  </r>
  <r>
    <s v="2025-03-19"/>
    <x v="1"/>
    <n v="1248.1099999999999"/>
    <n v="1254.8800000000001"/>
    <n v="1232.6600000000001"/>
    <n v="1248.02"/>
    <n v="1248.54"/>
    <n v="110013"/>
    <n v="-7.2109028851558075E-5"/>
    <n v="1255.1675000000002"/>
    <n v="1252.7580000000003"/>
    <n v="1252.2870967741935"/>
    <n v="1.7802918012034218E-2"/>
    <x v="0"/>
  </r>
  <r>
    <s v="2025-03-20"/>
    <x v="1"/>
    <n v="1257.6199999999999"/>
    <n v="1274.67"/>
    <n v="1248.3900000000001"/>
    <n v="1264.44"/>
    <n v="1263.1500000000001"/>
    <n v="312666"/>
    <n v="5.4229417471097505E-3"/>
    <n v="1256.4237499999999"/>
    <n v="1252.692"/>
    <n v="1252.9780645161291"/>
    <n v="2.0896614239595407E-2"/>
    <x v="0"/>
  </r>
  <r>
    <s v="2025-03-21"/>
    <x v="1"/>
    <n v="1261.47"/>
    <n v="1281.33"/>
    <n v="1250.28"/>
    <n v="1268.8599999999999"/>
    <n v="1268.3499999999999"/>
    <n v="420650"/>
    <n v="5.8582447462086872E-3"/>
    <n v="1254.0862500000001"/>
    <n v="1253.1753333333334"/>
    <n v="1253.6983870967742"/>
    <n v="2.4614140645437429E-2"/>
    <x v="0"/>
  </r>
  <r>
    <s v="2025-03-24"/>
    <x v="1"/>
    <n v="1247.31"/>
    <n v="1266.27"/>
    <n v="1229.43"/>
    <n v="1253.6600000000001"/>
    <n v="1253.3800000000001"/>
    <n v="256143"/>
    <n v="5.0909557367455859E-3"/>
    <n v="1252.7337500000001"/>
    <n v="1252.7433333333331"/>
    <n v="1253.8132258064516"/>
    <n v="2.9535560526252429E-2"/>
    <x v="0"/>
  </r>
  <r>
    <s v="2025-03-25"/>
    <x v="1"/>
    <n v="1262.25"/>
    <n v="1268.8"/>
    <n v="1243.71"/>
    <n v="1260.32"/>
    <n v="1260.3399999999999"/>
    <n v="286504"/>
    <n v="-1.529015646662756E-3"/>
    <n v="1252.2974999999999"/>
    <n v="1252.8233333333333"/>
    <n v="1253.9322580645162"/>
    <n v="1.9877203406615106E-2"/>
    <x v="0"/>
  </r>
  <r>
    <s v="2025-03-26"/>
    <x v="1"/>
    <n v="1248.77"/>
    <n v="1267.2"/>
    <n v="1237.93"/>
    <n v="1257.31"/>
    <n v="1255.3499999999999"/>
    <n v="101039"/>
    <n v="6.8387293096406577E-3"/>
    <n v="1248.9312499999999"/>
    <n v="1254.2079999999996"/>
    <n v="1253.551612903226"/>
    <n v="2.3439064039014378E-2"/>
    <x v="0"/>
  </r>
  <r>
    <s v="2025-03-27"/>
    <x v="1"/>
    <n v="1257.24"/>
    <n v="1276.5"/>
    <n v="1243.6400000000001"/>
    <n v="1259.42"/>
    <n v="1259.95"/>
    <n v="150935"/>
    <n v="1.7339569215106612E-3"/>
    <n v="1248.1612500000001"/>
    <n v="1254.7626666666663"/>
    <n v="1252.8229032258066"/>
    <n v="2.6136616715980956E-2"/>
    <x v="0"/>
  </r>
  <r>
    <s v="2025-03-28"/>
    <x v="1"/>
    <n v="1236.08"/>
    <n v="1246.01"/>
    <n v="1220.99"/>
    <n v="1231.27"/>
    <n v="1232.28"/>
    <n v="116800"/>
    <n v="-3.8913338942462832E-3"/>
    <n v="1247.7887499999999"/>
    <n v="1254.7053333333331"/>
    <n v="1252.7525806451613"/>
    <n v="2.0241408323085869E-2"/>
    <x v="0"/>
  </r>
  <r>
    <s v="2025-03-31"/>
    <x v="1"/>
    <n v="1260.24"/>
    <n v="1266.6099999999999"/>
    <n v="1247.82"/>
    <n v="1260.3599999999999"/>
    <n v="1258.5899999999999"/>
    <n v="402940"/>
    <n v="9.5219958103131836E-5"/>
    <n v="1249.6974999999998"/>
    <n v="1254.9413333333332"/>
    <n v="1253.4316129032259"/>
    <n v="1.4909858439662258E-2"/>
    <x v="0"/>
  </r>
  <r>
    <s v="2025-04-01"/>
    <x v="1"/>
    <n v="1233.0999999999999"/>
    <n v="1251.42"/>
    <n v="1222.8399999999999"/>
    <n v="1245.98"/>
    <n v="1244.45"/>
    <n v="154940"/>
    <n v="1.0445219365826056E-2"/>
    <n v="1251.1737499999999"/>
    <n v="1253.4553333333331"/>
    <n v="1253.8306451612902"/>
    <n v="2.3177357878517685E-2"/>
    <x v="1"/>
  </r>
  <r>
    <s v="2025-04-02"/>
    <x v="1"/>
    <n v="1258.1300000000001"/>
    <n v="1272.4000000000001"/>
    <n v="1251.6099999999999"/>
    <n v="1259.19"/>
    <n v="1257.53"/>
    <n v="111487"/>
    <n v="8.4252024830498067E-4"/>
    <n v="1253.3512500000002"/>
    <n v="1253.7346666666667"/>
    <n v="1253.8122580645161"/>
    <n v="1.6524524492699633E-2"/>
    <x v="1"/>
  </r>
  <r>
    <s v="2025-04-03"/>
    <x v="1"/>
    <n v="1249.67"/>
    <n v="1267"/>
    <n v="1234.08"/>
    <n v="1251.56"/>
    <n v="1249.8900000000001"/>
    <n v="377197"/>
    <n v="1.5123992734080779E-3"/>
    <n v="1252.9824999999998"/>
    <n v="1253.1739999999998"/>
    <n v="1253.1958064516127"/>
    <n v="2.6342954539998617E-2"/>
    <x v="1"/>
  </r>
  <r>
    <s v="2025-04-04"/>
    <x v="1"/>
    <n v="1239.52"/>
    <n v="1256.71"/>
    <n v="1220.31"/>
    <n v="1231.47"/>
    <n v="1233.4100000000001"/>
    <n v="266467"/>
    <n v="-6.494449464308728E-3"/>
    <n v="1256.8850000000002"/>
    <n v="1252.9113333333335"/>
    <n v="1253.0687096774193"/>
    <n v="2.9366206273396228E-2"/>
    <x v="1"/>
  </r>
  <r>
    <s v="2025-04-07"/>
    <x v="1"/>
    <n v="1247.3599999999999"/>
    <n v="1253.6099999999999"/>
    <n v="1230.7"/>
    <n v="1248.96"/>
    <n v="1249.19"/>
    <n v="276615"/>
    <n v="1.2827090815804071E-3"/>
    <n v="1260.6675"/>
    <n v="1252.5546666666667"/>
    <n v="1254.0061290322578"/>
    <n v="1.8366790661877772E-2"/>
    <x v="1"/>
  </r>
  <r>
    <s v="2025-04-08"/>
    <x v="1"/>
    <n v="1262.58"/>
    <n v="1269.25"/>
    <n v="1250.19"/>
    <n v="1258.92"/>
    <n v="1256.97"/>
    <n v="407359"/>
    <n v="-2.8988262129923288E-3"/>
    <n v="1261.905"/>
    <n v="1252.8993333333335"/>
    <n v="1253.7567741935482"/>
    <n v="1.5096073120119079E-2"/>
    <x v="1"/>
  </r>
  <r>
    <s v="2025-04-09"/>
    <x v="1"/>
    <n v="1247.18"/>
    <n v="1253.96"/>
    <n v="1240.42"/>
    <n v="1246.95"/>
    <n v="1247.55"/>
    <n v="452631"/>
    <n v="-1.8441604259210233E-4"/>
    <n v="1259.2612499999998"/>
    <n v="1251.5753333333332"/>
    <n v="1253.8732258064515"/>
    <n v="1.0856492246508092E-2"/>
    <x v="1"/>
  </r>
  <r>
    <s v="2025-04-10"/>
    <x v="1"/>
    <n v="1259.19"/>
    <n v="1278.6199999999999"/>
    <n v="1248.57"/>
    <n v="1271.26"/>
    <n v="1270.4000000000001"/>
    <n v="342333"/>
    <n v="9.5855272039961689E-3"/>
    <n v="1257.855"/>
    <n v="1252.1320000000001"/>
    <n v="1253.9264516129031"/>
    <n v="2.3864547844249042E-2"/>
    <x v="1"/>
  </r>
  <r>
    <s v="2025-04-11"/>
    <x v="1"/>
    <n v="1250.57"/>
    <n v="1270.02"/>
    <n v="1245.3900000000001"/>
    <n v="1259.99"/>
    <n v="1261.8699999999999"/>
    <n v="467989"/>
    <n v="7.5325651502915255E-3"/>
    <n v="1255.1349999999998"/>
    <n v="1252.1026666666664"/>
    <n v="1253.3338709677416"/>
    <n v="1.9695019071303391E-2"/>
    <x v="1"/>
  </r>
  <r>
    <s v="2025-04-14"/>
    <x v="1"/>
    <n v="1256.24"/>
    <n v="1262.3499999999999"/>
    <n v="1242.93"/>
    <n v="1252.7"/>
    <n v="1254.58"/>
    <n v="346609"/>
    <n v="-2.817932879067665E-3"/>
    <n v="1253.5412499999998"/>
    <n v="1253.6766666666665"/>
    <n v="1253.7835483870967"/>
    <n v="1.5458829523020955E-2"/>
    <x v="1"/>
  </r>
  <r>
    <s v="2025-04-15"/>
    <x v="1"/>
    <n v="1276.76"/>
    <n v="1292.2"/>
    <n v="1264.94"/>
    <n v="1280.5999999999999"/>
    <n v="1281.1099999999999"/>
    <n v="478246"/>
    <n v="3.0076130204579705E-3"/>
    <n v="1252.4625000000001"/>
    <n v="1254.8319999999999"/>
    <n v="1254.7222580645159"/>
    <n v="2.1350919515022392E-2"/>
    <x v="1"/>
  </r>
  <r>
    <s v="2025-04-16"/>
    <x v="1"/>
    <n v="1262.72"/>
    <n v="1268.4000000000001"/>
    <n v="1253.51"/>
    <n v="1261.8699999999999"/>
    <n v="1263.67"/>
    <n v="470110"/>
    <n v="-6.7315002534222665E-4"/>
    <n v="1245.83125"/>
    <n v="1253.2293333333332"/>
    <n v="1253.3416129032255"/>
    <n v="1.1792004561581427E-2"/>
    <x v="1"/>
  </r>
  <r>
    <s v="2025-04-17"/>
    <x v="1"/>
    <n v="1252.8900000000001"/>
    <n v="1267.19"/>
    <n v="1243.73"/>
    <n v="1260.3399999999999"/>
    <n v="1259.0899999999999"/>
    <n v="345956"/>
    <n v="5.9462522647637205E-3"/>
    <n v="1244.6675"/>
    <n v="1252.2206666666668"/>
    <n v="1253.0470967741935"/>
    <n v="1.8724708474008121E-2"/>
    <x v="1"/>
  </r>
  <r>
    <s v="2025-04-18"/>
    <x v="1"/>
    <n v="1232.76"/>
    <n v="1246.51"/>
    <n v="1226.5899999999999"/>
    <n v="1233.92"/>
    <n v="1235.82"/>
    <n v="161686"/>
    <n v="9.4097796813660557E-4"/>
    <n v="1241.92"/>
    <n v="1250.4653333333333"/>
    <n v="1275.1732258064517"/>
    <n v="1.6158863039034421E-2"/>
    <x v="1"/>
  </r>
  <r>
    <s v="2025-04-21"/>
    <x v="1"/>
    <n v="1234.8699999999999"/>
    <n v="1252.08"/>
    <n v="1219.5999999999999"/>
    <n v="1237.6500000000001"/>
    <n v="1236.3"/>
    <n v="495375"/>
    <n v="2.2512491193406596E-3"/>
    <n v="1244.4299999999998"/>
    <n v="1251.9286666666665"/>
    <n v="1297.9051612903224"/>
    <n v="2.6302363811575323E-2"/>
    <x v="1"/>
  </r>
  <r>
    <s v="2025-04-22"/>
    <x v="1"/>
    <n v="1240.8"/>
    <n v="1259.79"/>
    <n v="1222.81"/>
    <n v="1250.46"/>
    <n v="1248.6400000000001"/>
    <n v="233458"/>
    <n v="7.7852998065764687E-3"/>
    <n v="1248.6374999999998"/>
    <n v="1253.0639999999999"/>
    <n v="1320.991935483871"/>
    <n v="2.9803352675693118E-2"/>
    <x v="1"/>
  </r>
  <r>
    <s v="2025-04-23"/>
    <x v="1"/>
    <n v="1253.26"/>
    <n v="1270.42"/>
    <n v="1233.45"/>
    <n v="1250.52"/>
    <n v="1249.1199999999999"/>
    <n v="184015"/>
    <n v="-2.1862981344653218E-3"/>
    <n v="1253.2424999999998"/>
    <n v="1254.5519999999999"/>
    <n v="1344.5716129032257"/>
    <n v="2.9499066434738225E-2"/>
    <x v="1"/>
  </r>
  <r>
    <s v="2025-04-24"/>
    <x v="1"/>
    <n v="1236.8699999999999"/>
    <n v="1256.42"/>
    <n v="1219.24"/>
    <n v="1244.5999999999999"/>
    <n v="1245.95"/>
    <n v="117149"/>
    <n v="6.2496462845731716E-3"/>
    <n v="1256.0912499999999"/>
    <n v="1254.2026666666668"/>
    <n v="1366.8512903225808"/>
    <n v="3.005974758867146E-2"/>
    <x v="1"/>
  </r>
  <r>
    <s v="2025-04-25"/>
    <x v="1"/>
    <n v="1229.48"/>
    <n v="1238.58"/>
    <n v="1223.6300000000001"/>
    <n v="1226.5999999999999"/>
    <n v="1228.06"/>
    <n v="298813"/>
    <n v="-2.3424537202720737E-3"/>
    <n v="1257.48125"/>
    <n v="1253.7006666666668"/>
    <n v="1389.4938709677424"/>
    <n v="1.215961219377283E-2"/>
    <x v="1"/>
  </r>
  <r>
    <s v="2025-04-28"/>
    <x v="1"/>
    <n v="1254.05"/>
    <n v="1270.58"/>
    <n v="1234.8800000000001"/>
    <n v="1252.96"/>
    <n v="1254.3599999999999"/>
    <n v="230877"/>
    <n v="-8.6918384434425916E-4"/>
    <n v="1260.0412499999998"/>
    <n v="1254.8933333333332"/>
    <n v="1412.765483870968"/>
    <n v="2.8467764443203876E-2"/>
    <x v="1"/>
  </r>
  <r>
    <s v="2025-04-29"/>
    <x v="1"/>
    <n v="1250.8699999999999"/>
    <n v="1257.81"/>
    <n v="1231.56"/>
    <n v="1236.69"/>
    <n v="1237.1099999999999"/>
    <n v="352769"/>
    <n v="-1.1336110067392964E-2"/>
    <n v="1257.3412500000002"/>
    <n v="1255.4340000000002"/>
    <n v="1435.3206451612907"/>
    <n v="2.0985394165660701E-2"/>
    <x v="1"/>
  </r>
  <r>
    <s v="2025-04-30"/>
    <x v="1"/>
    <n v="1261.1199999999999"/>
    <n v="1275.3900000000001"/>
    <n v="1250.75"/>
    <n v="1257.45"/>
    <n v="1255.9000000000001"/>
    <n v="190066"/>
    <n v="-2.9101116467900325E-3"/>
    <n v="1259.9237499999999"/>
    <n v="1255.7239999999999"/>
    <n v="1457.4867741935489"/>
    <n v="1.9538188277087115E-2"/>
    <x v="1"/>
  </r>
  <r>
    <s v="2025-05-01"/>
    <x v="1"/>
    <n v="1256.42"/>
    <n v="1273"/>
    <n v="1243.6199999999999"/>
    <n v="1268.55"/>
    <n v="1269.96"/>
    <n v="250975"/>
    <n v="9.654414924945386E-3"/>
    <n v="1259.6025"/>
    <n v="1256.0360000000001"/>
    <n v="1480.1987096774196"/>
    <n v="2.3383900288120301E-2"/>
    <x v="2"/>
  </r>
  <r>
    <s v="2025-05-02"/>
    <x v="1"/>
    <n v="1274.6099999999999"/>
    <n v="1292.76"/>
    <n v="1263.56"/>
    <n v="1286.94"/>
    <n v="1285.48"/>
    <n v="284338"/>
    <n v="9.6735472026738805E-3"/>
    <n v="1259.7275"/>
    <n v="1254.6520000000003"/>
    <n v="1502.5500000000004"/>
    <n v="2.2908968233420455E-2"/>
    <x v="2"/>
  </r>
  <r>
    <s v="2025-05-05"/>
    <x v="1"/>
    <n v="1268.8900000000001"/>
    <n v="1277.08"/>
    <n v="1261.8399999999999"/>
    <n v="1273.8499999999999"/>
    <n v="1271.9100000000001"/>
    <n v="198095"/>
    <n v="3.9089282758945285E-3"/>
    <n v="1254.5275000000001"/>
    <n v="1252.4219999999998"/>
    <n v="1524.0645161290324"/>
    <n v="1.2010497363837691E-2"/>
    <x v="2"/>
  </r>
  <r>
    <s v="2025-05-06"/>
    <x v="1"/>
    <n v="1264.58"/>
    <n v="1275.46"/>
    <n v="1253.02"/>
    <n v="1255.45"/>
    <n v="1257.07"/>
    <n v="395877"/>
    <n v="-7.2197883882394809E-3"/>
    <n v="1250.3412499999999"/>
    <n v="1252.6820000000002"/>
    <n v="1546.2500000000005"/>
    <n v="1.7745022062661164E-2"/>
    <x v="2"/>
  </r>
  <r>
    <s v="2025-05-07"/>
    <x v="1"/>
    <n v="1256"/>
    <n v="1272.75"/>
    <n v="1245.05"/>
    <n v="1248.05"/>
    <n v="1248.54"/>
    <n v="364977"/>
    <n v="-6.3296178343949403E-3"/>
    <n v="1248.9512500000001"/>
    <n v="1254.4560000000004"/>
    <n v="1568.1106451612909"/>
    <n v="2.2054140127388572E-2"/>
    <x v="2"/>
  </r>
  <r>
    <s v="2025-05-08"/>
    <x v="1"/>
    <n v="1236.97"/>
    <n v="1248.8599999999999"/>
    <n v="1217.27"/>
    <n v="1232.79"/>
    <n v="1232.76"/>
    <n v="478907"/>
    <n v="-3.3792250418361509E-3"/>
    <n v="1250.6924999999999"/>
    <n v="1253.7740000000001"/>
    <n v="1591.0161290322583"/>
    <n v="2.553821030421103E-2"/>
    <x v="2"/>
  </r>
  <r>
    <s v="2025-05-09"/>
    <x v="1"/>
    <n v="1265.23"/>
    <n v="1273.83"/>
    <n v="1259.0899999999999"/>
    <n v="1259.25"/>
    <n v="1257.77"/>
    <n v="433577"/>
    <n v="-4.7264133793855807E-3"/>
    <n v="1251.7800000000002"/>
    <n v="1255.2260000000001"/>
    <n v="1614.1612903225812"/>
    <n v="1.1650055721094196E-2"/>
    <x v="2"/>
  </r>
  <r>
    <s v="2025-05-12"/>
    <x v="1"/>
    <n v="1257.67"/>
    <n v="1265.4000000000001"/>
    <n v="1247.48"/>
    <n v="1251.74"/>
    <n v="1253.33"/>
    <n v="432936"/>
    <n v="-4.7150683406617499E-3"/>
    <n v="1252.1312500000001"/>
    <n v="1301.0413333333336"/>
    <n v="1636.7987096774198"/>
    <n v="1.424857076975683E-2"/>
    <x v="2"/>
  </r>
  <r>
    <s v="2025-05-13"/>
    <x v="1"/>
    <n v="1274.55"/>
    <n v="1282.1300000000001"/>
    <n v="1266.67"/>
    <n v="1272.8"/>
    <n v="1270.96"/>
    <n v="433143"/>
    <n v="-1.3730336197089168E-3"/>
    <n v="1251.6150000000002"/>
    <n v="1346.8533333333332"/>
    <n v="1659.4203225806455"/>
    <n v="1.2129771291828517E-2"/>
    <x v="2"/>
  </r>
  <r>
    <s v="2025-05-14"/>
    <x v="1"/>
    <n v="1248.7"/>
    <n v="1256.3599999999999"/>
    <n v="1242.3699999999999"/>
    <n v="1245.4000000000001"/>
    <n v="1243.8800000000001"/>
    <n v="455915"/>
    <n v="-2.6427484583966959E-3"/>
    <n v="1249.2487500000002"/>
    <n v="1392.2553333333335"/>
    <n v="1681.4167741935482"/>
    <n v="1.1203651797869791E-2"/>
    <x v="2"/>
  </r>
  <r>
    <s v="2025-05-15"/>
    <x v="1"/>
    <n v="1239.6600000000001"/>
    <n v="1250.1199999999999"/>
    <n v="1227.1099999999999"/>
    <n v="1237.6600000000001"/>
    <n v="1238.42"/>
    <n v="290209"/>
    <n v="-1.6133455947598533E-3"/>
    <n v="1253.24"/>
    <n v="1441.3040000000001"/>
    <n v="1704.7412903225807"/>
    <n v="1.8561541067712108E-2"/>
    <x v="2"/>
  </r>
  <r>
    <s v="2025-05-16"/>
    <x v="1"/>
    <n v="1247"/>
    <n v="1265.0999999999999"/>
    <n v="1228.19"/>
    <n v="1247.71"/>
    <n v="1245.95"/>
    <n v="473094"/>
    <n v="5.6936647955095144E-4"/>
    <n v="1258.8975"/>
    <n v="1488.0620000000001"/>
    <n v="1728.3929032258068"/>
    <n v="2.9599037690456981E-2"/>
    <x v="2"/>
  </r>
  <r>
    <s v="2025-05-19"/>
    <x v="1"/>
    <n v="1262.51"/>
    <n v="1278.73"/>
    <n v="1254.74"/>
    <n v="1263.6300000000001"/>
    <n v="1262.47"/>
    <n v="486731"/>
    <n v="8.8712168616495574E-4"/>
    <n v="1257.9424999999999"/>
    <n v="1534.8566666666666"/>
    <n v="1750.9396774193549"/>
    <n v="1.9001829688477724E-2"/>
    <x v="2"/>
  </r>
  <r>
    <s v="2025-05-20"/>
    <x v="1"/>
    <n v="1251.25"/>
    <n v="1265.52"/>
    <n v="1240.72"/>
    <n v="1241.6099999999999"/>
    <n v="1241.46"/>
    <n v="410408"/>
    <n v="-7.7042957042957839E-3"/>
    <n v="1256.9512500000001"/>
    <n v="1580.6573333333333"/>
    <n v="1773.4096774193549"/>
    <n v="1.9820179820179785E-2"/>
    <x v="2"/>
  </r>
  <r>
    <s v="2025-05-21"/>
    <x v="1"/>
    <n v="1262.51"/>
    <n v="1280.94"/>
    <n v="1249.83"/>
    <n v="1260.45"/>
    <n v="1260.58"/>
    <n v="360471"/>
    <n v="-1.6316702441960423E-3"/>
    <n v="1344.8937499999997"/>
    <n v="1628.1313333333333"/>
    <n v="1796.3951612903229"/>
    <n v="2.4641388979097296E-2"/>
    <x v="2"/>
  </r>
  <r>
    <s v="2025-05-22"/>
    <x v="1"/>
    <n v="1252.72"/>
    <n v="1265.71"/>
    <n v="1244.08"/>
    <n v="1250.1199999999999"/>
    <n v="1249.2"/>
    <n v="196462"/>
    <n v="-2.075483747365841E-3"/>
    <n v="1429.885"/>
    <n v="1672.3766666666666"/>
    <n v="1819.1635483870971"/>
    <n v="1.7266428252123465E-2"/>
    <x v="2"/>
  </r>
  <r>
    <s v="2025-05-23"/>
    <x v="1"/>
    <n v="1252.1300000000001"/>
    <n v="1261.96"/>
    <n v="1243.96"/>
    <n v="1252.72"/>
    <n v="1252.03"/>
    <n v="135327"/>
    <n v="4.7119708017531574E-4"/>
    <n v="1517.7337499999999"/>
    <n v="1719.7613333333331"/>
    <n v="1841.8422580645163"/>
    <n v="1.437550414094383E-2"/>
    <x v="2"/>
  </r>
  <r>
    <s v="2025-05-26"/>
    <x v="1"/>
    <n v="1270.8699999999999"/>
    <n v="1287.71"/>
    <n v="1258.3900000000001"/>
    <n v="1277.46"/>
    <n v="1275.81"/>
    <n v="227069"/>
    <n v="5.1854241582539092E-3"/>
    <n v="1608.6812500000001"/>
    <n v="1767.1493333333333"/>
    <n v="1864.1983870967742"/>
    <n v="2.3070809760242936E-2"/>
    <x v="2"/>
  </r>
  <r>
    <s v="2025-05-27"/>
    <x v="1"/>
    <n v="1277.74"/>
    <n v="1293.92"/>
    <n v="1266.27"/>
    <n v="1285.17"/>
    <n v="1283.68"/>
    <n v="462344"/>
    <n v="5.8149545290904752E-3"/>
    <n v="1691.67875"/>
    <n v="1812.2573333333332"/>
    <n v="1887.1054838709679"/>
    <n v="2.163977021929351E-2"/>
    <x v="2"/>
  </r>
  <r>
    <s v="2025-05-28"/>
    <x v="1"/>
    <n v="1245.24"/>
    <n v="1259.93"/>
    <n v="1231.68"/>
    <n v="1238.8900000000001"/>
    <n v="1238.31"/>
    <n v="264438"/>
    <n v="-5.0994185859753209E-3"/>
    <n v="1774.7024999999999"/>
    <n v="1857.3226666666665"/>
    <n v="1908.087741935484"/>
    <n v="2.2686389772252739E-2"/>
    <x v="2"/>
  </r>
  <r>
    <s v="2025-05-29"/>
    <x v="1"/>
    <n v="1254.28"/>
    <n v="1262.8399999999999"/>
    <n v="1247.75"/>
    <n v="1255.93"/>
    <n v="1254.54"/>
    <n v="496471"/>
    <n v="1.3154957425774874E-3"/>
    <n v="1863.5987499999997"/>
    <n v="1903.7519999999997"/>
    <n v="1931.5654838709677"/>
    <n v="1.2030806518480658E-2"/>
    <x v="2"/>
  </r>
  <r>
    <s v="2025-03-07"/>
    <x v="2"/>
    <n v="1949.49"/>
    <n v="1957.29"/>
    <n v="1940.21"/>
    <n v="1946.31"/>
    <n v="1945"/>
    <n v="323996"/>
    <n v="-1.6311958512226601E-3"/>
    <n v="1950.9775"/>
    <n v="1950.6899999999998"/>
    <n v="1954.1429032258068"/>
    <n v="8.7612657669441374E-3"/>
    <x v="0"/>
  </r>
  <r>
    <s v="2025-03-10"/>
    <x v="2"/>
    <n v="1930.97"/>
    <n v="1950.71"/>
    <n v="1924.29"/>
    <n v="1940.92"/>
    <n v="1940.51"/>
    <n v="156769"/>
    <n v="5.1528506398338895E-3"/>
    <n v="1948.385"/>
    <n v="1951.0406666666665"/>
    <n v="1954.7193548387099"/>
    <n v="1.3682242603458404E-2"/>
    <x v="0"/>
  </r>
  <r>
    <s v="2025-03-11"/>
    <x v="2"/>
    <n v="1950.23"/>
    <n v="1957.79"/>
    <n v="1935.2"/>
    <n v="1950.27"/>
    <n v="1951.99"/>
    <n v="204247"/>
    <n v="2.0510401337259513E-5"/>
    <n v="1950.8174999999999"/>
    <n v="1952.3086666666666"/>
    <n v="1954.733548387097"/>
    <n v="1.1583249155227803E-2"/>
    <x v="0"/>
  </r>
  <r>
    <s v="2025-03-12"/>
    <x v="2"/>
    <n v="1976.43"/>
    <n v="1985.63"/>
    <n v="1959.89"/>
    <n v="1980.86"/>
    <n v="1979.61"/>
    <n v="340506"/>
    <n v="2.241415076678575E-3"/>
    <n v="1952.175"/>
    <n v="1952.4826666666663"/>
    <n v="1954.8503225806451"/>
    <n v="1.3023481732214149E-2"/>
    <x v="0"/>
  </r>
  <r>
    <s v="2025-03-13"/>
    <x v="2"/>
    <n v="1948.37"/>
    <n v="1960.98"/>
    <n v="1939.73"/>
    <n v="1941.33"/>
    <n v="1939.79"/>
    <n v="269412"/>
    <n v="-3.6132767390177245E-3"/>
    <n v="1948.7774999999999"/>
    <n v="1950.6986666666664"/>
    <n v="1953.718387096774"/>
    <n v="1.0906552656836228E-2"/>
    <x v="0"/>
  </r>
  <r>
    <s v="2025-03-14"/>
    <x v="2"/>
    <n v="1940.76"/>
    <n v="1954.48"/>
    <n v="1933.44"/>
    <n v="1947.95"/>
    <n v="1947.87"/>
    <n v="171024"/>
    <n v="3.7047342278283017E-3"/>
    <n v="1951.26125"/>
    <n v="1952.5086666666662"/>
    <n v="1954.2777419354836"/>
    <n v="1.0841113790473816E-2"/>
    <x v="0"/>
  </r>
  <r>
    <s v="2025-03-17"/>
    <x v="2"/>
    <n v="1949.48"/>
    <n v="1959.53"/>
    <n v="1942.46"/>
    <n v="1951.23"/>
    <n v="1949.48"/>
    <n v="378755"/>
    <n v="8.9767527750990006E-4"/>
    <n v="1949.6212500000001"/>
    <n v="1954.0919999999996"/>
    <n v="1954.332580645161"/>
    <n v="8.7561811354822505E-3"/>
    <x v="0"/>
  </r>
  <r>
    <s v="2025-03-18"/>
    <x v="2"/>
    <n v="1949.98"/>
    <n v="1965.2"/>
    <n v="1933.58"/>
    <n v="1953.19"/>
    <n v="1953.57"/>
    <n v="318892"/>
    <n v="1.6461707299562233E-3"/>
    <n v="1950.7625"/>
    <n v="1953.7866666666664"/>
    <n v="1954.6458064516128"/>
    <n v="1.6215550928727535E-2"/>
    <x v="0"/>
  </r>
  <r>
    <s v="2025-03-19"/>
    <x v="2"/>
    <n v="1931.28"/>
    <n v="1941.51"/>
    <n v="1912.34"/>
    <n v="1922.94"/>
    <n v="1924.26"/>
    <n v="142690"/>
    <n v="-4.3183795203180888E-3"/>
    <n v="1950.3487500000001"/>
    <n v="1954.151333333333"/>
    <n v="1955.1493548387093"/>
    <n v="1.5103972494925682E-2"/>
    <x v="0"/>
  </r>
  <r>
    <s v="2025-03-20"/>
    <x v="2"/>
    <n v="1957.7"/>
    <n v="1965.42"/>
    <n v="1951.7"/>
    <n v="1959.01"/>
    <n v="1959.97"/>
    <n v="477610"/>
    <n v="6.6915257700359877E-4"/>
    <n v="1954.7575000000002"/>
    <n v="1956.1346666666664"/>
    <n v="1956.0354838709677"/>
    <n v="7.0082239362517377E-3"/>
    <x v="0"/>
  </r>
  <r>
    <s v="2025-03-21"/>
    <x v="2"/>
    <n v="1967.68"/>
    <n v="1974.78"/>
    <n v="1950.75"/>
    <n v="1964.04"/>
    <n v="1962.85"/>
    <n v="189681"/>
    <n v="-1.8498942917548077E-3"/>
    <n v="1954.0862500000001"/>
    <n v="1956.5633333333333"/>
    <n v="1955.779677419355"/>
    <n v="1.2212351601886471E-2"/>
    <x v="0"/>
  </r>
  <r>
    <s v="2025-03-24"/>
    <x v="2"/>
    <n v="1952.82"/>
    <n v="1970.04"/>
    <n v="1937.84"/>
    <n v="1952.34"/>
    <n v="1952.43"/>
    <n v="378561"/>
    <n v="-2.4579838387563536E-4"/>
    <n v="1952.8362500000001"/>
    <n v="1955.8560000000002"/>
    <n v="1955.9570967741938"/>
    <n v="1.6488974918323268E-2"/>
    <x v="0"/>
  </r>
  <r>
    <s v="2025-03-25"/>
    <x v="2"/>
    <n v="1964.71"/>
    <n v="1975.6"/>
    <n v="1947.46"/>
    <n v="1959.9"/>
    <n v="1959.66"/>
    <n v="251099"/>
    <n v="-2.4481984618594833E-3"/>
    <n v="1954.65"/>
    <n v="1955.3653333333336"/>
    <n v="1955.9025806451614"/>
    <n v="1.4322724473331877E-2"/>
    <x v="0"/>
  </r>
  <r>
    <s v="2025-03-26"/>
    <x v="2"/>
    <n v="1949.24"/>
    <n v="1958.76"/>
    <n v="1933.03"/>
    <n v="1934.74"/>
    <n v="1934.75"/>
    <n v="307847"/>
    <n v="-7.4387966592107694E-3"/>
    <n v="1956.145"/>
    <n v="1957.116666666667"/>
    <n v="1955.1712903225807"/>
    <n v="1.3200016416654706E-2"/>
    <x v="0"/>
  </r>
  <r>
    <s v="2025-03-27"/>
    <x v="2"/>
    <n v="1959.27"/>
    <n v="1970.03"/>
    <n v="1946.12"/>
    <n v="1956.98"/>
    <n v="1958.61"/>
    <n v="172458"/>
    <n v="-1.1688026662991643E-3"/>
    <n v="1957.4137499999999"/>
    <n v="1957.0753333333334"/>
    <n v="1955.728387096774"/>
    <n v="1.2203524782189328E-2"/>
    <x v="0"/>
  </r>
  <r>
    <s v="2025-03-28"/>
    <x v="2"/>
    <n v="1947.15"/>
    <n v="1966.25"/>
    <n v="1932.73"/>
    <n v="1950.92"/>
    <n v="1950.26"/>
    <n v="468490"/>
    <n v="1.9361631101866737E-3"/>
    <n v="1957.4674999999997"/>
    <n v="1957.576"/>
    <n v="1955.9819354838705"/>
    <n v="1.7214903833808377E-2"/>
    <x v="0"/>
  </r>
  <r>
    <s v="2025-03-31"/>
    <x v="2"/>
    <n v="1959.38"/>
    <n v="1973.68"/>
    <n v="1946.38"/>
    <n v="1957.95"/>
    <n v="1959.53"/>
    <n v="348890"/>
    <n v="-7.2982269901706849E-4"/>
    <n v="1957.93625"/>
    <n v="1957.8546666666666"/>
    <n v="1956.0348387096772"/>
    <n v="1.3932978799416117E-2"/>
    <x v="0"/>
  </r>
  <r>
    <s v="2025-04-01"/>
    <x v="2"/>
    <n v="1951.13"/>
    <n v="1960.81"/>
    <n v="1942.4"/>
    <n v="1953.62"/>
    <n v="1954.6"/>
    <n v="251377"/>
    <n v="1.2761835449200112E-3"/>
    <n v="1958.7950000000001"/>
    <n v="1958.0773333333334"/>
    <n v="1955.6364516129031"/>
    <n v="9.4355578562165792E-3"/>
    <x v="1"/>
  </r>
  <r>
    <s v="2025-04-02"/>
    <x v="2"/>
    <n v="1956.72"/>
    <n v="1973.16"/>
    <n v="1938.57"/>
    <n v="1953.48"/>
    <n v="1952.85"/>
    <n v="419529"/>
    <n v="-1.6558322090028258E-3"/>
    <n v="1958.4999999999998"/>
    <n v="1957.1673333333333"/>
    <n v="1955.5390322580645"/>
    <n v="1.7677542009076487E-2"/>
    <x v="1"/>
  </r>
  <r>
    <s v="2025-04-03"/>
    <x v="2"/>
    <n v="1968.87"/>
    <n v="1976.12"/>
    <n v="1960.43"/>
    <n v="1966.05"/>
    <n v="1966.94"/>
    <n v="145648"/>
    <n v="-1.4322936506726885E-3"/>
    <n v="1957.5274999999999"/>
    <n v="1957.3513333333331"/>
    <n v="1955.5954838709677"/>
    <n v="7.9690380776789877E-3"/>
    <x v="1"/>
  </r>
  <r>
    <s v="2025-04-04"/>
    <x v="2"/>
    <n v="1964.7"/>
    <n v="1980.11"/>
    <n v="1951.56"/>
    <n v="1972.61"/>
    <n v="1971.62"/>
    <n v="168344"/>
    <n v="4.0260599582632737E-3"/>
    <n v="1959.9012499999999"/>
    <n v="1955.8566666666666"/>
    <n v="1955.4261290322584"/>
    <n v="1.4531480633175525E-2"/>
    <x v="1"/>
  </r>
  <r>
    <s v="2025-04-07"/>
    <x v="2"/>
    <n v="1945.42"/>
    <n v="1964.05"/>
    <n v="1931.67"/>
    <n v="1945.3"/>
    <n v="1944.9"/>
    <n v="440559"/>
    <n v="-6.1683338302329698E-5"/>
    <n v="1955.2150000000001"/>
    <n v="1954.8906666666667"/>
    <n v="1954.9103225806452"/>
    <n v="1.6644220785228835E-2"/>
    <x v="1"/>
  </r>
  <r>
    <s v="2025-04-08"/>
    <x v="2"/>
    <n v="1962.54"/>
    <n v="1969.84"/>
    <n v="1948.75"/>
    <n v="1959.02"/>
    <n v="1959.04"/>
    <n v="463926"/>
    <n v="-1.7935940159181376E-3"/>
    <n v="1957.8674999999998"/>
    <n v="1955.202"/>
    <n v="1955.1596774193545"/>
    <n v="1.0746277782873175E-2"/>
    <x v="1"/>
  </r>
  <r>
    <s v="2025-04-09"/>
    <x v="2"/>
    <n v="1953.97"/>
    <n v="1972.05"/>
    <n v="1934.99"/>
    <n v="1953.75"/>
    <n v="1954.01"/>
    <n v="342446"/>
    <n v="-1.1259128850495519E-4"/>
    <n v="1957.2924999999998"/>
    <n v="1955.212"/>
    <n v="1954.3270967741935"/>
    <n v="1.8966514327241436E-2"/>
    <x v="1"/>
  </r>
  <r>
    <s v="2025-04-10"/>
    <x v="2"/>
    <n v="1960.81"/>
    <n v="1976.42"/>
    <n v="1953.52"/>
    <n v="1966.09"/>
    <n v="1966.4"/>
    <n v="431887"/>
    <n v="2.6927647247820914E-3"/>
    <n v="1958.4"/>
    <n v="1956.2233333333336"/>
    <n v="1954.4738709677417"/>
    <n v="1.1678847007104254E-2"/>
    <x v="1"/>
  </r>
  <r>
    <s v="2025-04-11"/>
    <x v="2"/>
    <n v="1942.59"/>
    <n v="1958.64"/>
    <n v="1923.57"/>
    <n v="1950.54"/>
    <n v="1952.24"/>
    <n v="482161"/>
    <n v="4.0924744799468987E-3"/>
    <n v="1955.21875"/>
    <n v="1955.2453333333333"/>
    <n v="1953.9941935483869"/>
    <n v="1.8053217611539319E-2"/>
    <x v="1"/>
  </r>
  <r>
    <s v="2025-04-14"/>
    <x v="2"/>
    <n v="1946.1"/>
    <n v="1965.87"/>
    <n v="1928.52"/>
    <n v="1946.57"/>
    <n v="1945.07"/>
    <n v="455549"/>
    <n v="2.4150865834233971E-4"/>
    <n v="1955.6400000000003"/>
    <n v="1955.2320000000002"/>
    <n v="1954.4096774193547"/>
    <n v="1.9192230615076262E-2"/>
    <x v="1"/>
  </r>
  <r>
    <s v="2025-04-15"/>
    <x v="2"/>
    <n v="1981.39"/>
    <n v="1992.38"/>
    <n v="1975.57"/>
    <n v="1986.59"/>
    <n v="1985.93"/>
    <n v="316764"/>
    <n v="2.6244202302423136E-3"/>
    <n v="1955.5712500000004"/>
    <n v="1956.7840000000001"/>
    <n v="1955.4783870967742"/>
    <n v="8.4839430904567869E-3"/>
    <x v="1"/>
  </r>
  <r>
    <s v="2025-04-16"/>
    <x v="2"/>
    <n v="1945.88"/>
    <n v="1958.94"/>
    <n v="1927.08"/>
    <n v="1934.74"/>
    <n v="1934.13"/>
    <n v="475984"/>
    <n v="-5.7249162332724006E-3"/>
    <n v="1951.9712500000001"/>
    <n v="1954.4379999999999"/>
    <n v="1954.7787096774193"/>
    <n v="1.6373054864637145E-2"/>
    <x v="1"/>
  </r>
  <r>
    <s v="2025-04-17"/>
    <x v="2"/>
    <n v="1968.7"/>
    <n v="1980.48"/>
    <n v="1960.33"/>
    <n v="1966.31"/>
    <n v="1966.12"/>
    <n v="192930"/>
    <n v="-1.213999085691116E-3"/>
    <n v="1953.9012499999999"/>
    <n v="1954.6286666666667"/>
    <n v="1954.9722580645159"/>
    <n v="1.0235180576014675E-2"/>
    <x v="1"/>
  </r>
  <r>
    <s v="2025-04-18"/>
    <x v="2"/>
    <n v="1953.54"/>
    <n v="1966.02"/>
    <n v="1942.26"/>
    <n v="1952.78"/>
    <n v="1954.44"/>
    <n v="209822"/>
    <n v="-3.8903733734655597E-4"/>
    <n v="1953.0350000000001"/>
    <n v="1953.6886666666667"/>
    <n v="1913.8658064516128"/>
    <n v="1.2162535704413521E-2"/>
    <x v="1"/>
  </r>
  <r>
    <s v="2025-04-21"/>
    <x v="2"/>
    <n v="1966.8"/>
    <n v="1981.28"/>
    <n v="1961.6"/>
    <n v="1962.22"/>
    <n v="1962.87"/>
    <n v="306440"/>
    <n v="-2.3286556843603455E-3"/>
    <n v="1954.8774999999998"/>
    <n v="1954.490666666667"/>
    <n v="1872.3009677419352"/>
    <n v="1.00061012812691E-2"/>
    <x v="1"/>
  </r>
  <r>
    <s v="2025-04-22"/>
    <x v="2"/>
    <n v="1953.31"/>
    <n v="1959.59"/>
    <n v="1933.36"/>
    <n v="1940.94"/>
    <n v="1940.95"/>
    <n v="380405"/>
    <n v="-6.3328401533806157E-3"/>
    <n v="1953.4850000000001"/>
    <n v="1953.7593333333339"/>
    <n v="1831.1467741935483"/>
    <n v="1.3428488053611572E-2"/>
    <x v="1"/>
  </r>
  <r>
    <s v="2025-04-23"/>
    <x v="2"/>
    <n v="1949.22"/>
    <n v="1965.47"/>
    <n v="1941.07"/>
    <n v="1954.02"/>
    <n v="1955.61"/>
    <n v="471346"/>
    <n v="2.4625234709268087E-3"/>
    <n v="1954.8712500000001"/>
    <n v="1954.174666666667"/>
    <n v="1790.6809677419353"/>
    <n v="1.2517827643878111E-2"/>
    <x v="1"/>
  </r>
  <r>
    <s v="2025-04-24"/>
    <x v="2"/>
    <n v="1950.26"/>
    <n v="1955.81"/>
    <n v="1938.18"/>
    <n v="1944.26"/>
    <n v="1944.52"/>
    <n v="267852"/>
    <n v="-3.0765128752063826E-3"/>
    <n v="1956.4637500000001"/>
    <n v="1953.9060000000002"/>
    <n v="1749.4599999999998"/>
    <n v="9.0398203316480272E-3"/>
    <x v="1"/>
  </r>
  <r>
    <s v="2025-04-25"/>
    <x v="2"/>
    <n v="1969.89"/>
    <n v="1981.5"/>
    <n v="1958.88"/>
    <n v="1956.89"/>
    <n v="1957.13"/>
    <n v="270193"/>
    <n v="-6.5993532633801888E-3"/>
    <n v="1957.24125"/>
    <n v="1954.5780000000004"/>
    <n v="1708.4296774193549"/>
    <n v="1.1482874678281473E-2"/>
    <x v="1"/>
  </r>
  <r>
    <s v="2025-04-28"/>
    <x v="2"/>
    <n v="1952.57"/>
    <n v="1970.5"/>
    <n v="1933.38"/>
    <n v="1950.08"/>
    <n v="1949.57"/>
    <n v="207525"/>
    <n v="-1.2752423728726802E-3"/>
    <n v="1954.7237499999999"/>
    <n v="1954.8820000000001"/>
    <n v="1667.5341935483871"/>
    <n v="1.9010842120897018E-2"/>
    <x v="1"/>
  </r>
  <r>
    <s v="2025-04-29"/>
    <x v="2"/>
    <n v="1964.33"/>
    <n v="1975.46"/>
    <n v="1958.95"/>
    <n v="1960.57"/>
    <n v="1959.19"/>
    <n v="295757"/>
    <n v="-1.9141386630555921E-3"/>
    <n v="1955.03"/>
    <n v="1955.2860000000001"/>
    <n v="1626.5874193548386"/>
    <n v="8.4049014167680534E-3"/>
    <x v="1"/>
  </r>
  <r>
    <s v="2025-04-30"/>
    <x v="2"/>
    <n v="1965.36"/>
    <n v="1970.77"/>
    <n v="1957.03"/>
    <n v="1970.26"/>
    <n v="1969.18"/>
    <n v="203967"/>
    <n v="2.4931819106932527E-3"/>
    <n v="1955.9399999999998"/>
    <n v="1954.8486666666665"/>
    <n v="1585.7164516129033"/>
    <n v="6.9910856026376899E-3"/>
    <x v="1"/>
  </r>
  <r>
    <s v="2025-05-01"/>
    <x v="2"/>
    <n v="1956.99"/>
    <n v="1964.67"/>
    <n v="1942.2"/>
    <n v="1952.78"/>
    <n v="1951.73"/>
    <n v="491185"/>
    <n v="-2.1512629088549437E-3"/>
    <n v="1953.78"/>
    <n v="1952.452"/>
    <n v="1544.5087096774196"/>
    <n v="1.148191866080053E-2"/>
    <x v="2"/>
  </r>
  <r>
    <s v="2025-05-02"/>
    <x v="2"/>
    <n v="1953.6"/>
    <n v="1969.43"/>
    <n v="1935.76"/>
    <n v="1950.72"/>
    <n v="1952.04"/>
    <n v="114141"/>
    <n v="-1.4742014742014137E-3"/>
    <n v="1953.2112499999998"/>
    <n v="1952.9073333333331"/>
    <n v="1503.5625806451612"/>
    <n v="1.7234848484848523E-2"/>
    <x v="2"/>
  </r>
  <r>
    <s v="2025-05-05"/>
    <x v="2"/>
    <n v="1972.46"/>
    <n v="1980.53"/>
    <n v="1963.06"/>
    <n v="1966.76"/>
    <n v="1968.35"/>
    <n v="378823"/>
    <n v="-2.8897924419253344E-3"/>
    <n v="1953.1537499999999"/>
    <n v="1952.8733333333332"/>
    <n v="1462.3625806451612"/>
    <n v="8.8569603439360121E-3"/>
    <x v="2"/>
  </r>
  <r>
    <s v="2025-05-06"/>
    <x v="2"/>
    <n v="1959.26"/>
    <n v="1970.58"/>
    <n v="1940.87"/>
    <n v="1949.47"/>
    <n v="1950.74"/>
    <n v="292201"/>
    <n v="-4.9967845002704915E-3"/>
    <n v="1951.4350000000002"/>
    <n v="1952.6580000000001"/>
    <n v="1420.8183870967746"/>
    <n v="1.5163888406847502E-2"/>
    <x v="2"/>
  </r>
  <r>
    <s v="2025-05-07"/>
    <x v="2"/>
    <n v="1943.58"/>
    <n v="1954.28"/>
    <n v="1929.73"/>
    <n v="1937.92"/>
    <n v="1936.99"/>
    <n v="279526"/>
    <n v="-2.9121518023440532E-3"/>
    <n v="1952.8037500000003"/>
    <n v="1954.4886666666669"/>
    <n v="1379.7167741935486"/>
    <n v="1.2631329814054454E-2"/>
    <x v="2"/>
  </r>
  <r>
    <s v="2025-05-08"/>
    <x v="2"/>
    <n v="1943.2"/>
    <n v="1956.48"/>
    <n v="1931.66"/>
    <n v="1952.84"/>
    <n v="1952.02"/>
    <n v="439556"/>
    <n v="4.9608892548373158E-3"/>
    <n v="1955.13375"/>
    <n v="1956.3053333333335"/>
    <n v="1339.2058064516134"/>
    <n v="1.2772745986002436E-2"/>
    <x v="2"/>
  </r>
  <r>
    <s v="2025-05-09"/>
    <x v="2"/>
    <n v="1965.72"/>
    <n v="1982.72"/>
    <n v="1954.34"/>
    <n v="1968.38"/>
    <n v="1966.47"/>
    <n v="352871"/>
    <n v="1.3531937407159117E-3"/>
    <n v="1955.21"/>
    <n v="1955.5126666666667"/>
    <n v="1298.9341935483872"/>
    <n v="1.4437458030645315E-2"/>
    <x v="2"/>
  </r>
  <r>
    <s v="2025-05-12"/>
    <x v="2"/>
    <n v="1959.08"/>
    <n v="1973.58"/>
    <n v="1950.21"/>
    <n v="1953.34"/>
    <n v="1951.9"/>
    <n v="172023"/>
    <n v="-2.9299467096800588E-3"/>
    <n v="1951.0550000000003"/>
    <n v="1870.5360000000003"/>
    <n v="1257.288064516129"/>
    <n v="1.1929068746554449E-2"/>
    <x v="2"/>
  </r>
  <r>
    <s v="2025-05-13"/>
    <x v="2"/>
    <n v="1943.12"/>
    <n v="1952.2"/>
    <n v="1937.84"/>
    <n v="1945.52"/>
    <n v="1947.18"/>
    <n v="388550"/>
    <n v="1.2351270122278042E-3"/>
    <n v="1951.8875"/>
    <n v="1784.8046666666669"/>
    <n v="1216.0167741935484"/>
    <n v="7.3901766231628148E-3"/>
    <x v="2"/>
  </r>
  <r>
    <s v="2025-05-14"/>
    <x v="2"/>
    <n v="1957.96"/>
    <n v="1967.07"/>
    <n v="1944.65"/>
    <n v="1950.97"/>
    <n v="1951.58"/>
    <n v="452208"/>
    <n v="-3.5700422889129546E-3"/>
    <n v="1952.4312500000001"/>
    <n v="1700.7986666666668"/>
    <n v="1175.0970967741937"/>
    <n v="1.1450693579031158E-2"/>
    <x v="2"/>
  </r>
  <r>
    <s v="2025-05-15"/>
    <x v="2"/>
    <n v="1951.31"/>
    <n v="1956.47"/>
    <n v="1944.26"/>
    <n v="1953"/>
    <n v="1954.6"/>
    <n v="146301"/>
    <n v="8.6608483531579021E-4"/>
    <n v="1954.1237500000002"/>
    <n v="1616.4606666666668"/>
    <n v="1134.0309677419355"/>
    <n v="6.2573348160979226E-3"/>
    <x v="2"/>
  </r>
  <r>
    <s v="2025-05-16"/>
    <x v="2"/>
    <n v="1958.56"/>
    <n v="1972.57"/>
    <n v="1943.58"/>
    <n v="1962.99"/>
    <n v="1961.69"/>
    <n v="390218"/>
    <n v="2.2618658606323337E-3"/>
    <n v="1957.07375"/>
    <n v="1531.338"/>
    <n v="1093.1299999999999"/>
    <n v="1.4801691038313868E-2"/>
    <x v="2"/>
  </r>
  <r>
    <s v="2025-05-19"/>
    <x v="2"/>
    <n v="1954.42"/>
    <n v="1965.17"/>
    <n v="1941.64"/>
    <n v="1957.44"/>
    <n v="1955.63"/>
    <n v="152259"/>
    <n v="1.545215460341166E-3"/>
    <n v="1957.3925000000002"/>
    <n v="1445.3973333333333"/>
    <n v="1051.0022580645159"/>
    <n v="1.2039377411201263E-2"/>
    <x v="2"/>
  </r>
  <r>
    <s v="2025-05-20"/>
    <x v="2"/>
    <n v="1961.18"/>
    <n v="1967.42"/>
    <n v="1947.13"/>
    <n v="1953.65"/>
    <n v="1952.63"/>
    <n v="106869"/>
    <n v="-3.8395251838178913E-3"/>
    <n v="1955.4549999999999"/>
    <n v="1360.9799999999998"/>
    <n v="1009.9022580645159"/>
    <n v="1.0345812215094974E-2"/>
    <x v="2"/>
  </r>
  <r>
    <s v="2025-05-21"/>
    <x v="2"/>
    <n v="1940.76"/>
    <n v="1951.1"/>
    <n v="1924.97"/>
    <n v="1934.04"/>
    <n v="1933.23"/>
    <n v="118793"/>
    <n v="-3.4625610585543947E-3"/>
    <n v="1797.8537499999998"/>
    <n v="1276.1526666666664"/>
    <n v="969.3193548387095"/>
    <n v="1.3463797687503803E-2"/>
    <x v="2"/>
  </r>
  <r>
    <s v="2025-05-22"/>
    <x v="2"/>
    <n v="1946.51"/>
    <n v="1961.47"/>
    <n v="1927.46"/>
    <n v="1957.63"/>
    <n v="1958.56"/>
    <n v="234357"/>
    <n v="5.7127885292138844E-3"/>
    <n v="1639.4412499999999"/>
    <n v="1193.4166666666667"/>
    <n v="929.19838709677413"/>
    <n v="1.7472296571813137E-2"/>
    <x v="2"/>
  </r>
  <r>
    <s v="2025-05-23"/>
    <x v="2"/>
    <n v="1962.08"/>
    <n v="1967.85"/>
    <n v="1949.63"/>
    <n v="1951.14"/>
    <n v="1951.53"/>
    <n v="392564"/>
    <n v="-5.5757155671531371E-3"/>
    <n v="1480.5074999999999"/>
    <n v="1108.962"/>
    <n v="888.35483870967732"/>
    <n v="9.2860637690613031E-3"/>
    <x v="2"/>
  </r>
  <r>
    <s v="2025-05-26"/>
    <x v="2"/>
    <n v="1967.49"/>
    <n v="1974.09"/>
    <n v="1961.36"/>
    <n v="1964.21"/>
    <n v="1965.12"/>
    <n v="302744"/>
    <n v="-1.6670986891928156E-3"/>
    <n v="1322.38"/>
    <n v="1024.3533333333335"/>
    <n v="847.85838709677409"/>
    <n v="6.4701726565319353E-3"/>
    <x v="2"/>
  </r>
  <r>
    <s v="2025-05-27"/>
    <x v="2"/>
    <n v="1975.75"/>
    <n v="1987.27"/>
    <n v="1967.05"/>
    <n v="1976.92"/>
    <n v="1978.2"/>
    <n v="332705"/>
    <n v="5.9218018474000897E-4"/>
    <n v="1161.46"/>
    <n v="938.33466666666675"/>
    <n v="806.42774193548371"/>
    <n v="1.0234088320890814E-2"/>
    <x v="2"/>
  </r>
  <r>
    <s v="2025-05-28"/>
    <x v="2"/>
    <n v="1962.32"/>
    <n v="1971.4"/>
    <n v="1948.47"/>
    <n v="1964.8"/>
    <n v="1964.24"/>
    <n v="379761"/>
    <n v="1.2638101838640071E-3"/>
    <n v="998.25750000000005"/>
    <n v="851.81999999999994"/>
    <n v="764.80999999999983"/>
    <n v="1.1685148191936109E-2"/>
    <x v="2"/>
  </r>
  <r>
    <s v="2025-05-29"/>
    <x v="2"/>
    <n v="1942.81"/>
    <n v="1955.94"/>
    <n v="1924.72"/>
    <n v="1939.2"/>
    <n v="1940.13"/>
    <n v="337155"/>
    <n v="-1.8581333223526232E-3"/>
    <n v="838.89875000000006"/>
    <n v="765.97666666666669"/>
    <n v="723.41677419354835"/>
    <n v="1.6069507568933671E-2"/>
    <x v="2"/>
  </r>
  <r>
    <s v="2025-03-07"/>
    <x v="3"/>
    <n v="688.6"/>
    <n v="703.98"/>
    <n v="670.86"/>
    <n v="692.82"/>
    <n v="691.82"/>
    <n v="466456"/>
    <n v="6.1283764159163912E-3"/>
    <n v="681.41000000000008"/>
    <n v="682.04466666666667"/>
    <n v="682.91322580645169"/>
    <n v="4.8097589311646823E-2"/>
    <x v="0"/>
  </r>
  <r>
    <s v="2025-03-10"/>
    <x v="3"/>
    <n v="667.73"/>
    <n v="687.55"/>
    <n v="648.57000000000005"/>
    <n v="667.77"/>
    <n v="665.93"/>
    <n v="474865"/>
    <n v="5.9904452398370028E-5"/>
    <n v="681.45624999999995"/>
    <n v="682.82999999999993"/>
    <n v="683.04322580645146"/>
    <n v="5.8376888862264546E-2"/>
    <x v="0"/>
  </r>
  <r>
    <s v="2025-03-11"/>
    <x v="3"/>
    <n v="687.3"/>
    <n v="695.01"/>
    <n v="673.78"/>
    <n v="685.43"/>
    <n v="687.09"/>
    <n v="342063"/>
    <n v="-2.7207915029826926E-3"/>
    <n v="684.68249999999989"/>
    <n v="683.46399999999994"/>
    <n v="683.32709677419336"/>
    <n v="3.0888985886803461E-2"/>
    <x v="0"/>
  </r>
  <r>
    <s v="2025-03-12"/>
    <x v="3"/>
    <n v="687.47"/>
    <n v="707.04"/>
    <n v="668.31"/>
    <n v="686.61"/>
    <n v="686.51"/>
    <n v="316105"/>
    <n v="-1.2509636784150779E-3"/>
    <n v="684.09624999999983"/>
    <n v="682.49066666666658"/>
    <n v="682.95419354838691"/>
    <n v="5.6337003796529325E-2"/>
    <x v="0"/>
  </r>
  <r>
    <s v="2025-03-13"/>
    <x v="3"/>
    <n v="683.28"/>
    <n v="693.07"/>
    <n v="665.85"/>
    <n v="679.61"/>
    <n v="677.76"/>
    <n v="240741"/>
    <n v="-5.3711509190960648E-3"/>
    <n v="682.63750000000005"/>
    <n v="681.96800000000007"/>
    <n v="682.83741935483852"/>
    <n v="3.9837255590680291E-2"/>
    <x v="0"/>
  </r>
  <r>
    <s v="2025-03-14"/>
    <x v="3"/>
    <n v="668.95"/>
    <n v="675.76"/>
    <n v="662.8"/>
    <n v="671.79"/>
    <n v="672.58"/>
    <n v="445061"/>
    <n v="4.2454593018909003E-3"/>
    <n v="682.97749999999996"/>
    <n v="682.01933333333341"/>
    <n v="682.65"/>
    <n v="1.9373645264967539E-2"/>
    <x v="0"/>
  </r>
  <r>
    <s v="2025-03-17"/>
    <x v="3"/>
    <n v="695.56"/>
    <n v="701.54"/>
    <n v="685.83"/>
    <n v="689.21"/>
    <n v="689.37"/>
    <n v="150185"/>
    <n v="-9.1293346368392508E-3"/>
    <n v="683.47874999999999"/>
    <n v="682.95866666666677"/>
    <n v="682.03645161290319"/>
    <n v="2.2586117660589919E-2"/>
    <x v="0"/>
  </r>
  <r>
    <s v="2025-03-18"/>
    <x v="3"/>
    <n v="676.49"/>
    <n v="690.88"/>
    <n v="658.2"/>
    <n v="679.76"/>
    <n v="680.22"/>
    <n v="385644"/>
    <n v="4.8337743351712249E-3"/>
    <n v="682.45125000000007"/>
    <n v="680.71600000000012"/>
    <n v="682.19516129032252"/>
    <n v="4.8308178982689985E-2"/>
    <x v="0"/>
  </r>
  <r>
    <s v="2025-03-19"/>
    <x v="3"/>
    <n v="683.82"/>
    <n v="702.91"/>
    <n v="666.84"/>
    <n v="690.2"/>
    <n v="692.19"/>
    <n v="195731"/>
    <n v="9.3299406276505445E-3"/>
    <n v="685.37374999999997"/>
    <n v="680.80333333333328"/>
    <n v="682.4122580645161"/>
    <n v="5.2747799128425511E-2"/>
    <x v="0"/>
  </r>
  <r>
    <s v="2025-03-20"/>
    <x v="3"/>
    <n v="695.23"/>
    <n v="706.26"/>
    <n v="683.03"/>
    <n v="691.23"/>
    <n v="691.74"/>
    <n v="468353"/>
    <n v="-5.7534916502452425E-3"/>
    <n v="683.28"/>
    <n v="680.9613333333333"/>
    <n v="682.31548387096768"/>
    <n v="3.3413402758799268E-2"/>
    <x v="0"/>
  </r>
  <r>
    <s v="2025-03-21"/>
    <x v="3"/>
    <n v="678.54"/>
    <n v="689.86"/>
    <n v="662.48"/>
    <n v="683.44"/>
    <n v="682.4"/>
    <n v="460010"/>
    <n v="7.2213870958235202E-3"/>
    <n v="680.87374999999997"/>
    <n v="680.81066666666663"/>
    <n v="682.01741935483869"/>
    <n v="4.0351342588498831E-2"/>
    <x v="0"/>
  </r>
  <r>
    <s v="2025-03-24"/>
    <x v="3"/>
    <n v="680"/>
    <n v="689.31"/>
    <n v="670.56"/>
    <n v="675.91"/>
    <n v="674.84"/>
    <n v="243211"/>
    <n v="-6.0147058823529879E-3"/>
    <n v="680.40750000000003"/>
    <n v="681.47799999999995"/>
    <n v="682.13258064516128"/>
    <n v="2.7573529411764705E-2"/>
    <x v="0"/>
  </r>
  <r>
    <s v="2025-03-25"/>
    <x v="3"/>
    <n v="682.65"/>
    <n v="693.41"/>
    <n v="667.46"/>
    <n v="681.61"/>
    <n v="680.48"/>
    <n v="311909"/>
    <n v="-1.5234746942063484E-3"/>
    <n v="680.86874999999998"/>
    <n v="682.89799999999991"/>
    <n v="682.89580645161288"/>
    <n v="3.8013623379476939E-2"/>
    <x v="0"/>
  </r>
  <r>
    <s v="2025-03-26"/>
    <x v="3"/>
    <n v="681.34"/>
    <n v="699.53"/>
    <n v="662.17"/>
    <n v="676.72"/>
    <n v="676.59"/>
    <n v="425478"/>
    <n v="-6.7807555699063672E-3"/>
    <n v="681.64250000000004"/>
    <n v="682.91733333333332"/>
    <n v="683.49903225806452"/>
    <n v="5.4833122963571804E-2"/>
    <x v="0"/>
  </r>
  <r>
    <s v="2025-03-27"/>
    <x v="3"/>
    <n v="671.77"/>
    <n v="691.64"/>
    <n v="663.29"/>
    <n v="679.38"/>
    <n v="681.15"/>
    <n v="353807"/>
    <n v="1.1328282001280221E-2"/>
    <n v="679.03500000000008"/>
    <n v="683.68133333333333"/>
    <n v="683.65161290322578"/>
    <n v="4.2201944117778438E-2"/>
    <x v="0"/>
  </r>
  <r>
    <s v="2025-03-28"/>
    <x v="3"/>
    <n v="694.67"/>
    <n v="707.36"/>
    <n v="686.21"/>
    <n v="704.89"/>
    <n v="703.6"/>
    <n v="185284"/>
    <n v="1.471202153540534E-2"/>
    <n v="679.08249999999987"/>
    <n v="683.67466666666644"/>
    <n v="683.40096774193546"/>
    <n v="3.0446111103113679E-2"/>
    <x v="0"/>
  </r>
  <r>
    <s v="2025-03-31"/>
    <x v="3"/>
    <n v="676.77"/>
    <n v="693.46"/>
    <n v="666.52"/>
    <n v="677.21"/>
    <n v="675.44"/>
    <n v="479291"/>
    <n v="6.5014702188343832E-4"/>
    <n v="677.9525000000001"/>
    <n v="682.40266666666662"/>
    <n v="682.29967741935502"/>
    <n v="3.9806729021676576E-2"/>
    <x v="0"/>
  </r>
  <r>
    <s v="2025-04-01"/>
    <x v="3"/>
    <n v="679.27"/>
    <n v="695.64"/>
    <n v="663.83"/>
    <n v="673.87"/>
    <n v="672.49"/>
    <n v="289931"/>
    <n v="-7.94971071885992E-3"/>
    <n v="679.70749999999998"/>
    <n v="683.76333333333321"/>
    <n v="682.58290322580649"/>
    <n v="4.6829684808691603E-2"/>
    <x v="1"/>
  </r>
  <r>
    <s v="2025-04-02"/>
    <x v="3"/>
    <n v="677.48"/>
    <n v="685.84"/>
    <n v="664.43"/>
    <n v="678.3"/>
    <n v="678.67"/>
    <n v="353625"/>
    <n v="1.2103678337366953E-3"/>
    <n v="682.19749999999999"/>
    <n v="683.91266666666672"/>
    <n v="682.72096774193551"/>
    <n v="3.1602408927200926E-2"/>
    <x v="1"/>
  </r>
  <r>
    <s v="2025-04-03"/>
    <x v="3"/>
    <n v="674.6"/>
    <n v="692.76"/>
    <n v="665.62"/>
    <n v="680.01"/>
    <n v="678.53"/>
    <n v="499244"/>
    <n v="8.0195671509041919E-3"/>
    <n v="684.38125000000002"/>
    <n v="683.70333333333338"/>
    <n v="682.60645161290336"/>
    <n v="4.0231248147050085E-2"/>
    <x v="1"/>
  </r>
  <r>
    <s v="2025-04-04"/>
    <x v="3"/>
    <n v="685.86"/>
    <n v="700.69"/>
    <n v="672.6"/>
    <n v="688.32"/>
    <n v="686.67"/>
    <n v="498888"/>
    <n v="3.5867378182136826E-3"/>
    <n v="684.66125000000011"/>
    <n v="683.99400000000014"/>
    <n v="682.39129032258074"/>
    <n v="4.0955880208789014E-2"/>
    <x v="1"/>
  </r>
  <r>
    <s v="2025-04-07"/>
    <x v="3"/>
    <n v="665.51"/>
    <n v="674.41"/>
    <n v="649.66"/>
    <n v="655.75"/>
    <n v="655.73"/>
    <n v="251407"/>
    <n v="-1.4665444546287796E-2"/>
    <n v="684.83375000000012"/>
    <n v="683.01266666666686"/>
    <n v="681.94032258064522"/>
    <n v="3.718952382383435E-2"/>
    <x v="1"/>
  </r>
  <r>
    <s v="2025-04-08"/>
    <x v="3"/>
    <n v="677.82"/>
    <n v="695.59"/>
    <n v="665.39"/>
    <n v="681.61"/>
    <n v="681.53"/>
    <n v="373364"/>
    <n v="5.591454958543512E-3"/>
    <n v="687.99874999999997"/>
    <n v="682.86800000000005"/>
    <n v="682.72387096774196"/>
    <n v="4.45546015166269E-2"/>
    <x v="1"/>
  </r>
  <r>
    <s v="2025-04-09"/>
    <x v="3"/>
    <n v="695.06"/>
    <n v="705.28"/>
    <n v="679.89"/>
    <n v="694.3"/>
    <n v="694.56"/>
    <n v="123379"/>
    <n v="-1.0934307829539767E-3"/>
    <n v="688.37249999999995"/>
    <n v="683.71866666666654"/>
    <n v="682.98903225806453"/>
    <n v="3.6529220498949716E-2"/>
    <x v="1"/>
  </r>
  <r>
    <s v="2025-04-10"/>
    <x v="3"/>
    <n v="688.84"/>
    <n v="705.8"/>
    <n v="673.96"/>
    <n v="688.08"/>
    <n v="689.48"/>
    <n v="261274"/>
    <n v="-1.1033041054526317E-3"/>
    <n v="688.53375000000005"/>
    <n v="683.21133333333341"/>
    <n v="683.03000000000009"/>
    <n v="4.6222635154752799E-2"/>
    <x v="1"/>
  </r>
  <r>
    <s v="2025-04-11"/>
    <x v="3"/>
    <n v="687.06"/>
    <n v="704.62"/>
    <n v="671.6"/>
    <n v="691.69"/>
    <n v="692.41"/>
    <n v="238356"/>
    <n v="6.7388583238728924E-3"/>
    <n v="686.69"/>
    <n v="683.19200000000023"/>
    <n v="682.64548387096784"/>
    <n v="4.8059849212586943E-2"/>
    <x v="1"/>
  </r>
  <r>
    <s v="2025-04-14"/>
    <x v="3"/>
    <n v="696.82"/>
    <n v="704.2"/>
    <n v="678.61"/>
    <n v="694.65"/>
    <n v="696.14"/>
    <n v="220141"/>
    <n v="-3.1141471255131492E-3"/>
    <n v="684.58"/>
    <n v="682.53133333333346"/>
    <n v="682.42096774193556"/>
    <n v="3.6723974627593969E-2"/>
    <x v="1"/>
  </r>
  <r>
    <s v="2025-04-15"/>
    <x v="3"/>
    <n v="679.3"/>
    <n v="695.45"/>
    <n v="671.89"/>
    <n v="679.5"/>
    <n v="680.77"/>
    <n v="331160"/>
    <n v="2.944207272192632E-4"/>
    <n v="682.92374999999993"/>
    <n v="681.85333333333324"/>
    <n v="682.39354838709687"/>
    <n v="3.4682761666421404E-2"/>
    <x v="1"/>
  </r>
  <r>
    <s v="2025-04-16"/>
    <x v="3"/>
    <n v="683.29"/>
    <n v="688.39"/>
    <n v="673.98"/>
    <n v="687.58"/>
    <n v="688.05"/>
    <n v="210931"/>
    <n v="6.2784469259027321E-3"/>
    <n v="681.82124999999996"/>
    <n v="683.03533333333326"/>
    <n v="682.32580645161295"/>
    <n v="2.1089142238288235E-2"/>
    <x v="1"/>
  </r>
  <r>
    <s v="2025-04-17"/>
    <x v="3"/>
    <n v="683.25"/>
    <n v="692.15"/>
    <n v="668.74"/>
    <n v="680.89"/>
    <n v="681.05"/>
    <n v="138151"/>
    <n v="-3.4540797658251204E-3"/>
    <n v="677.51"/>
    <n v="683.77733333333333"/>
    <n v="682.48354838709679"/>
    <n v="3.4262714965239617E-2"/>
    <x v="1"/>
  </r>
  <r>
    <s v="2025-04-18"/>
    <x v="3"/>
    <n v="679.92"/>
    <n v="696.34"/>
    <n v="666.8"/>
    <n v="682.67"/>
    <n v="684.52"/>
    <n v="320034"/>
    <n v="4.0445934815860696E-3"/>
    <n v="679.16500000000008"/>
    <n v="683.79533333333336"/>
    <n v="736.51387096774192"/>
    <n v="4.3446287798564652E-2"/>
    <x v="1"/>
  </r>
  <r>
    <s v="2025-04-21"/>
    <x v="3"/>
    <n v="695.09"/>
    <n v="714.07"/>
    <n v="688.55"/>
    <n v="694.1"/>
    <n v="695.85"/>
    <n v="463704"/>
    <n v="-1.424275993036886E-3"/>
    <n v="679.46874999999989"/>
    <n v="683.05266666666648"/>
    <n v="790.71225806451594"/>
    <n v="3.6714670042728416E-2"/>
    <x v="1"/>
  </r>
  <r>
    <s v="2025-04-22"/>
    <x v="3"/>
    <n v="678.54"/>
    <n v="688.05"/>
    <n v="662.92"/>
    <n v="676.46"/>
    <n v="674.73"/>
    <n v="403488"/>
    <n v="-3.0654051345534931E-3"/>
    <n v="678.63625000000002"/>
    <n v="681.29333333333318"/>
    <n v="844.68387096774188"/>
    <n v="3.7035399534294217E-2"/>
    <x v="1"/>
  </r>
  <r>
    <s v="2025-04-23"/>
    <x v="3"/>
    <n v="664.9"/>
    <n v="679.21"/>
    <n v="659.21"/>
    <n v="674.04"/>
    <n v="675.53"/>
    <n v="179832"/>
    <n v="1.3746428034290851E-2"/>
    <n v="679.60750000000007"/>
    <n v="681.92600000000004"/>
    <n v="899.17096774193556"/>
    <n v="3.0079711234772148E-2"/>
    <x v="1"/>
  </r>
  <r>
    <s v="2025-04-24"/>
    <x v="3"/>
    <n v="677.41"/>
    <n v="693.78"/>
    <n v="672.04"/>
    <n v="684.8"/>
    <n v="682.89"/>
    <n v="466163"/>
    <n v="1.090919826988085E-2"/>
    <n v="680.91250000000002"/>
    <n v="682.00866666666661"/>
    <n v="953.98290322580635"/>
    <n v="3.2092824139000033E-2"/>
    <x v="1"/>
  </r>
  <r>
    <s v="2025-04-25"/>
    <x v="3"/>
    <n v="681.69"/>
    <n v="698.25"/>
    <n v="666.44"/>
    <n v="672.17"/>
    <n v="671.95"/>
    <n v="497259"/>
    <n v="-1.3965292141589425E-2"/>
    <n v="682.86374999999998"/>
    <n v="681.4906666666667"/>
    <n v="1008.4735483870969"/>
    <n v="4.666343939327252E-2"/>
    <x v="1"/>
  </r>
  <r>
    <s v="2025-04-28"/>
    <x v="3"/>
    <n v="668.52"/>
    <n v="675.97"/>
    <n v="651.6"/>
    <n v="652.79"/>
    <n v="653.55999999999995"/>
    <n v="106422"/>
    <n v="-2.3529587746065964E-2"/>
    <n v="686.26750000000004"/>
    <n v="681.48466666666684"/>
    <n v="1062.8422580645163"/>
    <n v="3.64536588284569E-2"/>
    <x v="1"/>
  </r>
  <r>
    <s v="2025-04-29"/>
    <x v="3"/>
    <n v="694.22"/>
    <n v="703.32"/>
    <n v="674.96"/>
    <n v="695.69"/>
    <n v="694.29"/>
    <n v="184832"/>
    <n v="2.1174843709487298E-3"/>
    <n v="689.73750000000007"/>
    <n v="682.76000000000022"/>
    <n v="1118.1022580645163"/>
    <n v="4.0851603238166591E-2"/>
    <x v="1"/>
  </r>
  <r>
    <s v="2025-04-30"/>
    <x v="3"/>
    <n v="689.5"/>
    <n v="700.8"/>
    <n v="674.92"/>
    <n v="687.36"/>
    <n v="686.95"/>
    <n v="229327"/>
    <n v="-3.1036983321247082E-3"/>
    <n v="687.12375000000009"/>
    <n v="681.80866666666691"/>
    <n v="1172.0561290322582"/>
    <n v="3.7534445250181285E-2"/>
    <x v="1"/>
  </r>
  <r>
    <s v="2025-05-01"/>
    <x v="3"/>
    <n v="691.98"/>
    <n v="700.43"/>
    <n v="683.78"/>
    <n v="691.07"/>
    <n v="689.19"/>
    <n v="431464"/>
    <n v="-1.315066909448204E-3"/>
    <n v="684.9375"/>
    <n v="681.99533333333341"/>
    <n v="1225.6803225806455"/>
    <n v="2.4061389057487177E-2"/>
    <x v="2"/>
  </r>
  <r>
    <s v="2025-05-02"/>
    <x v="3"/>
    <n v="670.48"/>
    <n v="688.45"/>
    <n v="658.38"/>
    <n v="680.63"/>
    <n v="682.5"/>
    <n v="260994"/>
    <n v="1.5138408304498236E-2"/>
    <n v="684.31625000000008"/>
    <n v="682.4380000000001"/>
    <n v="1280.3648387096773"/>
    <n v="4.4848466770075243E-2"/>
    <x v="2"/>
  </r>
  <r>
    <s v="2025-05-05"/>
    <x v="3"/>
    <n v="685.7"/>
    <n v="702.35"/>
    <n v="669.14"/>
    <n v="684.59"/>
    <n v="685.97"/>
    <n v="358202"/>
    <n v="-1.6187837246609503E-3"/>
    <n v="683.60000000000014"/>
    <n v="682.10866666666675"/>
    <n v="1335.1238709677418"/>
    <n v="4.8432259005395994E-2"/>
    <x v="2"/>
  </r>
  <r>
    <s v="2025-05-06"/>
    <x v="3"/>
    <n v="689.43"/>
    <n v="696.4"/>
    <n v="683.94"/>
    <n v="696.82"/>
    <n v="698.5"/>
    <n v="392160"/>
    <n v="1.0718999753419637E-2"/>
    <n v="682.24374999999998"/>
    <n v="682.07400000000007"/>
    <n v="1389.7145161290321"/>
    <n v="1.8072900802111779E-2"/>
    <x v="2"/>
  </r>
  <r>
    <s v="2025-05-07"/>
    <x v="3"/>
    <n v="695.49"/>
    <n v="707.71"/>
    <n v="688.73"/>
    <n v="700.68"/>
    <n v="699.18"/>
    <n v="253632"/>
    <n v="7.4623646637621546E-3"/>
    <n v="678.91375000000005"/>
    <n v="681.86000000000013"/>
    <n v="1443.61"/>
    <n v="2.7290112007361741E-2"/>
    <x v="2"/>
  </r>
  <r>
    <s v="2025-05-08"/>
    <x v="3"/>
    <n v="676.24"/>
    <n v="684.25"/>
    <n v="663.87"/>
    <n v="683.06"/>
    <n v="681.32"/>
    <n v="202055"/>
    <n v="1.0085176860286194E-2"/>
    <n v="675.60249999999996"/>
    <n v="680.49266666666676"/>
    <n v="1497.5287096774193"/>
    <n v="3.0137229386016793E-2"/>
    <x v="2"/>
  </r>
  <r>
    <s v="2025-05-09"/>
    <x v="3"/>
    <n v="667.09"/>
    <n v="684.05"/>
    <n v="657.43"/>
    <n v="673.56"/>
    <n v="673.38"/>
    <n v="313446"/>
    <n v="9.6988412358151276E-3"/>
    <n v="675.44"/>
    <n v="681.26733333333334"/>
    <n v="1552.1251612903222"/>
    <n v="3.9904660540556754E-2"/>
    <x v="2"/>
  </r>
  <r>
    <s v="2025-05-12"/>
    <x v="3"/>
    <n v="678.48"/>
    <n v="692.48"/>
    <n v="669.11"/>
    <n v="668.68"/>
    <n v="669.46"/>
    <n v="483450"/>
    <n v="-1.4444051409032054E-2"/>
    <n v="677.48625000000004"/>
    <n v="793.44133333333343"/>
    <n v="1607.4106451612904"/>
    <n v="3.4444640962150698E-2"/>
    <x v="2"/>
  </r>
  <r>
    <s v="2025-05-13"/>
    <x v="3"/>
    <n v="686.72"/>
    <n v="692.31"/>
    <n v="674.51"/>
    <n v="685.8"/>
    <n v="684.22"/>
    <n v="366941"/>
    <n v="-1.3397017707363595E-3"/>
    <n v="680.78250000000003"/>
    <n v="906.45533333333333"/>
    <n v="1661.8474193548386"/>
    <n v="2.5920316868592662E-2"/>
    <x v="2"/>
  </r>
  <r>
    <s v="2025-05-14"/>
    <x v="3"/>
    <n v="682.96"/>
    <n v="697.23"/>
    <n v="667.42"/>
    <n v="676.53"/>
    <n v="676.77"/>
    <n v="125875"/>
    <n v="-9.4148998477217756E-3"/>
    <n v="679.95"/>
    <n v="1018.772"/>
    <n v="1716.4299999999998"/>
    <n v="4.3648237085627352E-2"/>
    <x v="2"/>
  </r>
  <r>
    <s v="2025-05-15"/>
    <x v="3"/>
    <n v="674.24"/>
    <n v="684.5"/>
    <n v="668.74"/>
    <n v="676.81"/>
    <n v="675.12"/>
    <n v="291345"/>
    <n v="3.8116990982438544E-3"/>
    <n v="681.03499999999997"/>
    <n v="1131.2426666666665"/>
    <n v="1771.2151612903224"/>
    <n v="2.3374466065495952E-2"/>
    <x v="2"/>
  </r>
  <r>
    <s v="2025-05-16"/>
    <x v="3"/>
    <n v="672.98"/>
    <n v="686.49"/>
    <n v="657.64"/>
    <n v="670.66"/>
    <n v="671.86"/>
    <n v="430578"/>
    <n v="-3.447353561770112E-3"/>
    <n v="683.55624999999998"/>
    <n v="1244.5479999999998"/>
    <n v="1826.2196774193549"/>
    <n v="4.2869030283217958E-2"/>
    <x v="2"/>
  </r>
  <r>
    <s v="2025-05-19"/>
    <x v="3"/>
    <n v="678.07"/>
    <n v="684.64"/>
    <n v="663.52"/>
    <n v="671.86"/>
    <n v="672.69"/>
    <n v="455714"/>
    <n v="-9.1583464834014711E-3"/>
    <n v="684.40750000000003"/>
    <n v="1357.8973333333333"/>
    <n v="1880.5593548387096"/>
    <n v="3.1147226687510143E-2"/>
    <x v="2"/>
  </r>
  <r>
    <s v="2025-05-20"/>
    <x v="3"/>
    <n v="683.6"/>
    <n v="699.24"/>
    <n v="665.54"/>
    <n v="679.16"/>
    <n v="680.02"/>
    <n v="477375"/>
    <n v="-6.4950263311879088E-3"/>
    <n v="686.93875000000003"/>
    <n v="1470.2099999999998"/>
    <n v="1935.2767741935481"/>
    <n v="4.9297834991223005E-2"/>
    <x v="2"/>
  </r>
  <r>
    <s v="2025-05-21"/>
    <x v="3"/>
    <n v="677.21"/>
    <n v="694.43"/>
    <n v="671.01"/>
    <n v="688.17"/>
    <n v="689.75"/>
    <n v="223603"/>
    <n v="1.6184049260938145E-2"/>
    <n v="896.43499999999995"/>
    <n v="1582.6499999999999"/>
    <n v="1989.9748387096774"/>
    <n v="3.4583068767442826E-2"/>
    <x v="2"/>
  </r>
  <r>
    <s v="2025-05-22"/>
    <x v="3"/>
    <n v="696.17"/>
    <n v="707.95"/>
    <n v="681.52"/>
    <n v="695.72"/>
    <n v="695.83"/>
    <n v="153850"/>
    <n v="-6.4639384058481669E-4"/>
    <n v="1105.8"/>
    <n v="1694.4573333333331"/>
    <n v="2044.5141935483871"/>
    <n v="3.7964864903687411E-2"/>
    <x v="2"/>
  </r>
  <r>
    <s v="2025-05-23"/>
    <x v="3"/>
    <n v="679.3"/>
    <n v="685.21"/>
    <n v="670.59"/>
    <n v="678.92"/>
    <n v="677.56"/>
    <n v="362083"/>
    <n v="-5.5939938171646619E-4"/>
    <n v="1314.9424999999999"/>
    <n v="1804.6886666666664"/>
    <n v="2098.2016129032259"/>
    <n v="2.1522155159723253E-2"/>
    <x v="2"/>
  </r>
  <r>
    <s v="2025-05-26"/>
    <x v="3"/>
    <n v="679.8"/>
    <n v="699.44"/>
    <n v="669.75"/>
    <n v="686.72"/>
    <n v="685.45"/>
    <n v="256861"/>
    <n v="1.0179464548396695E-2"/>
    <n v="1525.7262499999999"/>
    <n v="1918.4786666666664"/>
    <n v="2153.0293548387099"/>
    <n v="4.3674610179464633E-2"/>
    <x v="2"/>
  </r>
  <r>
    <s v="2025-05-27"/>
    <x v="3"/>
    <n v="689.19"/>
    <n v="701.66"/>
    <n v="675.86"/>
    <n v="694.41"/>
    <n v="695.29"/>
    <n v="373629"/>
    <n v="7.5741087363425368E-3"/>
    <n v="1736.8824999999997"/>
    <n v="2031.4506666666664"/>
    <n v="2206.6522580645155"/>
    <n v="3.7435250076176312E-2"/>
    <x v="2"/>
  </r>
  <r>
    <s v="2025-05-28"/>
    <x v="3"/>
    <n v="683.38"/>
    <n v="691.37"/>
    <n v="668.18"/>
    <n v="680.38"/>
    <n v="678.67"/>
    <n v="337614"/>
    <n v="-4.3899441013784428E-3"/>
    <n v="1946.4837500000001"/>
    <n v="2143.6499999999996"/>
    <n v="2260.6054838709674"/>
    <n v="3.3934267903655439E-2"/>
    <x v="2"/>
  </r>
  <r>
    <s v="2025-05-29"/>
    <x v="3"/>
    <n v="693.91"/>
    <n v="709.82"/>
    <n v="677.77"/>
    <n v="693.24"/>
    <n v="692.94"/>
    <n v="135965"/>
    <n v="-9.6554308195581434E-4"/>
    <n v="2156.3224999999998"/>
    <n v="2256.3559999999998"/>
    <n v="2314.8958064516128"/>
    <n v="4.6187545935351945E-2"/>
    <x v="2"/>
  </r>
  <r>
    <s v="2025-03-07"/>
    <x v="4"/>
    <n v="2354.7399999999998"/>
    <n v="2374.5500000000002"/>
    <n v="2349.14"/>
    <n v="2354.52"/>
    <n v="2355.9899999999998"/>
    <n v="133075"/>
    <n v="-9.342857385520267E-5"/>
    <n v="2365.5324999999998"/>
    <n v="2368.2039999999997"/>
    <n v="2369.6235483870964"/>
    <n v="1.0791000280285854E-2"/>
    <x v="0"/>
  </r>
  <r>
    <s v="2025-03-10"/>
    <x v="4"/>
    <n v="2351.38"/>
    <n v="2367.2600000000002"/>
    <n v="2339.08"/>
    <n v="2363.1799999999998"/>
    <n v="2364.67"/>
    <n v="151542"/>
    <n v="5.0183296617304423E-3"/>
    <n v="2366.8912499999997"/>
    <n v="2369.3919999999994"/>
    <n v="2370.226451612903"/>
    <n v="1.1984451683692252E-2"/>
    <x v="0"/>
  </r>
  <r>
    <s v="2025-03-11"/>
    <x v="4"/>
    <n v="2365.27"/>
    <n v="2374.42"/>
    <n v="2351.38"/>
    <n v="2367.3200000000002"/>
    <n v="2368.9699999999998"/>
    <n v="305545"/>
    <n v="8.6670866328164727E-4"/>
    <n v="2364.9699999999998"/>
    <n v="2370.8960000000002"/>
    <n v="2370.0409677419357"/>
    <n v="9.7409598058572442E-3"/>
    <x v="0"/>
  </r>
  <r>
    <s v="2025-03-12"/>
    <x v="4"/>
    <n v="2372.33"/>
    <n v="2386.8000000000002"/>
    <n v="2356.33"/>
    <n v="2365.3000000000002"/>
    <n v="2363.83"/>
    <n v="227627"/>
    <n v="-2.9633314083621358E-3"/>
    <n v="2366.8999999999996"/>
    <n v="2370.098"/>
    <n v="2370.2603225806456"/>
    <n v="1.2843912946343997E-2"/>
    <x v="0"/>
  </r>
  <r>
    <s v="2025-03-13"/>
    <x v="4"/>
    <n v="2371.94"/>
    <n v="2379.64"/>
    <n v="2363.38"/>
    <n v="2372.81"/>
    <n v="2374.6999999999998"/>
    <n v="482417"/>
    <n v="3.6678836732796394E-4"/>
    <n v="2368.9249999999997"/>
    <n v="2370.9279999999999"/>
    <n v="2370.2241935483876"/>
    <n v="6.8551481066130519E-3"/>
    <x v="0"/>
  </r>
  <r>
    <s v="2025-03-14"/>
    <x v="4"/>
    <n v="2370.2399999999998"/>
    <n v="2382.62"/>
    <n v="2361.5300000000002"/>
    <n v="2370.62"/>
    <n v="2372.1"/>
    <n v="419364"/>
    <n v="1.6032131767251804E-4"/>
    <n v="2369.3724999999995"/>
    <n v="2370.9553333333333"/>
    <n v="2369.6570967741945"/>
    <n v="8.8978331308220658E-3"/>
    <x v="0"/>
  </r>
  <r>
    <s v="2025-03-17"/>
    <x v="4"/>
    <n v="2374.7199999999998"/>
    <n v="2385.11"/>
    <n v="2360.83"/>
    <n v="2358.73"/>
    <n v="2357.38"/>
    <n v="223269"/>
    <n v="-6.73342541436455E-3"/>
    <n v="2369.0174999999999"/>
    <n v="2371.4993333333332"/>
    <n v="2369.2051612903224"/>
    <n v="1.0224363293356775E-2"/>
    <x v="0"/>
  </r>
  <r>
    <s v="2025-03-18"/>
    <x v="4"/>
    <n v="2370.7399999999998"/>
    <n v="2379.61"/>
    <n v="2355.89"/>
    <n v="2367.3200000000002"/>
    <n v="2366.62"/>
    <n v="353520"/>
    <n v="-1.442587546504306E-3"/>
    <n v="2370.6775000000002"/>
    <n v="2371.4333333333334"/>
    <n v="2369.2751612903226"/>
    <n v="1.0005314796224072E-2"/>
    <x v="0"/>
  </r>
  <r>
    <s v="2025-03-19"/>
    <x v="4"/>
    <n v="2362.3200000000002"/>
    <n v="2381.87"/>
    <n v="2350.5100000000002"/>
    <n v="2367.92"/>
    <n v="2366.86"/>
    <n v="107274"/>
    <n v="2.3705509837786197E-3"/>
    <n v="2371.5762500000005"/>
    <n v="2371.5873333333338"/>
    <n v="2369.327741935484"/>
    <n v="1.3275085509160347E-2"/>
    <x v="0"/>
  </r>
  <r>
    <s v="2025-03-20"/>
    <x v="4"/>
    <n v="2346.0500000000002"/>
    <n v="2363.48"/>
    <n v="2334.59"/>
    <n v="2350.31"/>
    <n v="2349.3000000000002"/>
    <n v="387362"/>
    <n v="1.8158180771934798E-3"/>
    <n v="2374.1224999999999"/>
    <n v="2372.174"/>
    <n v="2369.7529032258062"/>
    <n v="1.2314315551671904E-2"/>
    <x v="0"/>
  </r>
  <r>
    <s v="2025-03-21"/>
    <x v="4"/>
    <n v="2382.0100000000002"/>
    <n v="2389.52"/>
    <n v="2374.5"/>
    <n v="2386.2600000000002"/>
    <n v="2384.41"/>
    <n v="377502"/>
    <n v="1.7842074550484673E-3"/>
    <n v="2375.085"/>
    <n v="2374.252"/>
    <n v="2370.3545161290322"/>
    <n v="6.3055990529006936E-3"/>
    <x v="0"/>
  </r>
  <r>
    <s v="2025-03-24"/>
    <x v="4"/>
    <n v="2375.4699999999998"/>
    <n v="2387.59"/>
    <n v="2357.81"/>
    <n v="2378.81"/>
    <n v="2380.0300000000002"/>
    <n v="168821"/>
    <n v="1.4060375420443727E-3"/>
    <n v="2374.0687499999995"/>
    <n v="2372.6339999999996"/>
    <n v="2369.6683870967736"/>
    <n v="1.2536466467688585E-2"/>
    <x v="0"/>
  </r>
  <r>
    <s v="2025-03-25"/>
    <x v="4"/>
    <n v="2377.3000000000002"/>
    <n v="2385.39"/>
    <n v="2370.62"/>
    <n v="2379.1999999999998"/>
    <n v="2378.2800000000002"/>
    <n v="382205"/>
    <n v="7.9922601270333404E-4"/>
    <n v="2373.4537500000001"/>
    <n v="2372.4466666666672"/>
    <n v="2369.4867741935477"/>
    <n v="6.2129306355949944E-3"/>
    <x v="0"/>
  </r>
  <r>
    <s v="2025-03-26"/>
    <x v="4"/>
    <n v="2367.48"/>
    <n v="2386.5300000000002"/>
    <n v="2361.89"/>
    <n v="2370.77"/>
    <n v="2369.2600000000002"/>
    <n v="127508"/>
    <n v="1.3896632706506342E-3"/>
    <n v="2373.7012500000001"/>
    <n v="2370.4119999999998"/>
    <n v="2369.8419354838707"/>
    <n v="1.0407690878064578E-2"/>
    <x v="0"/>
  </r>
  <r>
    <s v="2025-03-27"/>
    <x v="4"/>
    <n v="2374.33"/>
    <n v="2384.0700000000002"/>
    <n v="2361.7199999999998"/>
    <n v="2372.4899999999998"/>
    <n v="2370.66"/>
    <n v="381289"/>
    <n v="-7.7495546111961929E-4"/>
    <n v="2372.0924999999997"/>
    <n v="2370.317333333333"/>
    <n v="2370.3877419354831"/>
    <n v="9.4131818239252193E-3"/>
    <x v="0"/>
  </r>
  <r>
    <s v="2025-03-28"/>
    <x v="4"/>
    <n v="2368.39"/>
    <n v="2386.41"/>
    <n v="2356.5700000000002"/>
    <n v="2373.75"/>
    <n v="2373.81"/>
    <n v="161279"/>
    <n v="2.2631407834014365E-3"/>
    <n v="2371.8762500000003"/>
    <n v="2369.7180000000003"/>
    <n v="2369.567419354838"/>
    <n v="1.2599276301622492E-2"/>
    <x v="0"/>
  </r>
  <r>
    <s v="2025-03-31"/>
    <x v="4"/>
    <n v="2387.88"/>
    <n v="2394.9699999999998"/>
    <n v="2382.4299999999998"/>
    <n v="2388"/>
    <n v="2387.23"/>
    <n v="382897"/>
    <n v="5.0253781597019468E-5"/>
    <n v="2372.1075000000001"/>
    <n v="2370.7640000000006"/>
    <n v="2369.7874193548382"/>
    <n v="5.251520176893296E-3"/>
    <x v="0"/>
  </r>
  <r>
    <s v="2025-04-01"/>
    <x v="4"/>
    <n v="2357.62"/>
    <n v="2372.7199999999998"/>
    <n v="2338.0700000000002"/>
    <n v="2358.62"/>
    <n v="2357"/>
    <n v="413641"/>
    <n v="4.2415656467115144E-4"/>
    <n v="2371.2625000000003"/>
    <n v="2369.9273333333335"/>
    <n v="2368.7364516129032"/>
    <n v="1.4697024965855243E-2"/>
    <x v="1"/>
  </r>
  <r>
    <s v="2025-04-02"/>
    <x v="4"/>
    <n v="2360.7600000000002"/>
    <n v="2378.7800000000002"/>
    <n v="2353.1"/>
    <n v="2375.5100000000002"/>
    <n v="2376.2800000000002"/>
    <n v="382662"/>
    <n v="6.2479879360883778E-3"/>
    <n v="2371.6550000000002"/>
    <n v="2370.0553333333332"/>
    <n v="2368.9432258064517"/>
    <n v="1.0877852894830601E-2"/>
    <x v="1"/>
  </r>
  <r>
    <s v="2025-04-03"/>
    <x v="4"/>
    <n v="2366.69"/>
    <n v="2380.96"/>
    <n v="2348.66"/>
    <n v="2374.83"/>
    <n v="2375.11"/>
    <n v="201653"/>
    <n v="3.439402710114072E-3"/>
    <n v="2371.7725"/>
    <n v="2370.0213333333331"/>
    <n v="2368.009032258065"/>
    <n v="1.3647752768634752E-2"/>
    <x v="1"/>
  </r>
  <r>
    <s v="2025-04-04"/>
    <x v="4"/>
    <n v="2378.06"/>
    <n v="2386.3000000000002"/>
    <n v="2363.1799999999998"/>
    <n v="2380.6799999999998"/>
    <n v="2380.2600000000002"/>
    <n v="465717"/>
    <n v="1.1017383917983107E-3"/>
    <n v="2368.3537500000002"/>
    <n v="2369.1946666666668"/>
    <n v="2368.4609677419357"/>
    <n v="9.7222105413657962E-3"/>
    <x v="1"/>
  </r>
  <r>
    <s v="2025-04-07"/>
    <x v="4"/>
    <n v="2359.2800000000002"/>
    <n v="2374.15"/>
    <n v="2339.29"/>
    <n v="2358.1999999999998"/>
    <n v="2356.39"/>
    <n v="199996"/>
    <n v="-4.5776677630479716E-4"/>
    <n v="2366.80125"/>
    <n v="2367.6520000000005"/>
    <n v="2367.914838709678"/>
    <n v="1.4775694279610781E-2"/>
    <x v="1"/>
  </r>
  <r>
    <s v="2025-04-08"/>
    <x v="4"/>
    <n v="2366.36"/>
    <n v="2384.42"/>
    <n v="2349.62"/>
    <n v="2368.66"/>
    <n v="2368.9299999999998"/>
    <n v="299384"/>
    <n v="9.7195692963020295E-4"/>
    <n v="2367.4612499999994"/>
    <n v="2367.7653333333333"/>
    <n v="2368.2425806451615"/>
    <n v="1.4706130935276196E-2"/>
    <x v="1"/>
  </r>
  <r>
    <s v="2025-04-09"/>
    <x v="4"/>
    <n v="2372.64"/>
    <n v="2383.6999999999998"/>
    <n v="2362.73"/>
    <n v="2374.9899999999998"/>
    <n v="2375.66"/>
    <n v="323905"/>
    <n v="9.9045788657356752E-4"/>
    <n v="2370.0324999999998"/>
    <n v="2367.1400000000003"/>
    <n v="2367.6329032258068"/>
    <n v="8.8382561197652403E-3"/>
    <x v="1"/>
  </r>
  <r>
    <s v="2025-04-10"/>
    <x v="4"/>
    <n v="2372.9699999999998"/>
    <n v="2389.94"/>
    <n v="2361.44"/>
    <n v="2379.1999999999998"/>
    <n v="2380.4699999999998"/>
    <n v="179406"/>
    <n v="2.6254019224853323E-3"/>
    <n v="2369.91"/>
    <n v="2366.6459999999997"/>
    <n v="2367.69"/>
    <n v="1.2010265616505899E-2"/>
    <x v="1"/>
  </r>
  <r>
    <s v="2025-04-11"/>
    <x v="4"/>
    <n v="2368.1999999999998"/>
    <n v="2373.29"/>
    <n v="2358.33"/>
    <n v="2360.67"/>
    <n v="2360.14"/>
    <n v="475866"/>
    <n v="-3.1796300988091151E-3"/>
    <n v="2367.2162499999995"/>
    <n v="2366.6173333333331"/>
    <n v="2367.1812903225805"/>
    <n v="6.3170340342876604E-3"/>
    <x v="1"/>
  </r>
  <r>
    <s v="2025-04-14"/>
    <x v="4"/>
    <n v="2382.9499999999998"/>
    <n v="2393.7800000000002"/>
    <n v="2371.2199999999998"/>
    <n v="2378.27"/>
    <n v="2377.2199999999998"/>
    <n v="116832"/>
    <n v="-1.963952244067159E-3"/>
    <n v="2369.17"/>
    <n v="2367.1379999999995"/>
    <n v="2366.7358064516129"/>
    <n v="9.4672569714011629E-3"/>
    <x v="1"/>
  </r>
  <r>
    <s v="2025-04-15"/>
    <x v="4"/>
    <n v="2354.0700000000002"/>
    <n v="2360.17"/>
    <n v="2340.02"/>
    <n v="2347.09"/>
    <n v="2347.7600000000002"/>
    <n v="331121"/>
    <n v="-2.965077504067431E-3"/>
    <n v="2367.3562499999998"/>
    <n v="2366.199333333333"/>
    <n v="2365.8390322580644"/>
    <n v="8.5596435110256233E-3"/>
    <x v="1"/>
  </r>
  <r>
    <s v="2025-04-16"/>
    <x v="4"/>
    <n v="2360.12"/>
    <n v="2370.8200000000002"/>
    <n v="2342.17"/>
    <n v="2367.7600000000002"/>
    <n v="2367.84"/>
    <n v="175933"/>
    <n v="3.2371235360915242E-3"/>
    <n v="2368.5262499999999"/>
    <n v="2367.9753333333338"/>
    <n v="2366.5893548387103"/>
    <n v="1.2139213260342733E-2"/>
    <x v="1"/>
  </r>
  <r>
    <s v="2025-04-17"/>
    <x v="4"/>
    <n v="2362.46"/>
    <n v="2372.58"/>
    <n v="2351.7600000000002"/>
    <n v="2362.0700000000002"/>
    <n v="2361.67"/>
    <n v="299661"/>
    <n v="-1.6508216012117567E-4"/>
    <n v="2367.3074999999999"/>
    <n v="2369.4053333333336"/>
    <n v="2366.6506451612909"/>
    <n v="8.8128476249332097E-3"/>
    <x v="1"/>
  </r>
  <r>
    <s v="2025-04-18"/>
    <x v="4"/>
    <n v="2377.23"/>
    <n v="2391.35"/>
    <n v="2360.7600000000002"/>
    <n v="2388.25"/>
    <n v="2389.5"/>
    <n v="142158"/>
    <n v="4.6356473710999699E-3"/>
    <n v="2367.0425"/>
    <n v="2371.0393333333336"/>
    <n v="2366.8166666666675"/>
    <n v="1.2867917702536015E-2"/>
    <x v="1"/>
  </r>
  <r>
    <s v="2025-04-21"/>
    <x v="4"/>
    <n v="2364.4699999999998"/>
    <n v="2383.38"/>
    <n v="2358.5700000000002"/>
    <n v="2372.94"/>
    <n v="2374.6799999999998"/>
    <n v="144913"/>
    <n v="3.5821981247384214E-3"/>
    <n v="2364.38625"/>
    <n v="2368.0880000000006"/>
    <n v="2366.0344827586214"/>
    <n v="1.0492837718389299E-2"/>
    <x v="1"/>
  </r>
  <r>
    <s v="2025-04-22"/>
    <x v="4"/>
    <n v="2359.46"/>
    <n v="2371.75"/>
    <n v="2350.61"/>
    <n v="2359.7800000000002"/>
    <n v="2358.92"/>
    <n v="363760"/>
    <n v="1.3562425300711338E-4"/>
    <n v="2365.0562500000001"/>
    <n v="2368.4846666666667"/>
    <n v="2365.7257142857147"/>
    <n v="8.9596772142777892E-3"/>
    <x v="1"/>
  </r>
  <r>
    <s v="2025-04-23"/>
    <x v="4"/>
    <n v="2376.71"/>
    <n v="2389.8000000000002"/>
    <n v="2367.04"/>
    <n v="2375.33"/>
    <n v="2375.77"/>
    <n v="171855"/>
    <n v="-5.8063457468522E-4"/>
    <n v="2366.1849999999999"/>
    <n v="2368.1999999999998"/>
    <n v="2365.9777777777776"/>
    <n v="9.5762629853874542E-3"/>
    <x v="1"/>
  </r>
  <r>
    <s v="2025-04-24"/>
    <x v="4"/>
    <n v="2357.1"/>
    <n v="2368.3000000000002"/>
    <n v="2350.27"/>
    <n v="2363.9899999999998"/>
    <n v="2362.71"/>
    <n v="239573"/>
    <n v="2.9230834500020672E-3"/>
    <n v="2364.6062500000003"/>
    <n v="2367.3759999999997"/>
    <n v="2365.6011538461539"/>
    <n v="7.6492299859998308E-3"/>
    <x v="1"/>
  </r>
  <r>
    <s v="2025-04-25"/>
    <x v="4"/>
    <n v="2357.31"/>
    <n v="2370.19"/>
    <n v="2341.67"/>
    <n v="2358.69"/>
    <n v="2357.12"/>
    <n v="323007"/>
    <n v="5.8541303434851981E-4"/>
    <n v="2366.0675000000001"/>
    <n v="2366.3500000000004"/>
    <n v="2365.7168000000001"/>
    <n v="1.2098536043201777E-2"/>
    <x v="1"/>
  </r>
  <r>
    <s v="2025-04-28"/>
    <x v="4"/>
    <n v="2351.0700000000002"/>
    <n v="2370.5100000000002"/>
    <n v="2338.8200000000002"/>
    <n v="2356.87"/>
    <n v="2358.09"/>
    <n v="410486"/>
    <n v="2.4669618514122195E-3"/>
    <n v="2370.0887500000003"/>
    <n v="2368.483333333334"/>
    <n v="2366.0750000000003"/>
    <n v="1.3478969150216732E-2"/>
    <x v="1"/>
  </r>
  <r>
    <s v="2025-04-29"/>
    <x v="4"/>
    <n v="2361.21"/>
    <n v="2375.71"/>
    <n v="2341.94"/>
    <n v="2359.14"/>
    <n v="2359.5500000000002"/>
    <n v="269785"/>
    <n v="-8.7666916538561314E-4"/>
    <n v="2373.6"/>
    <n v="2368.8326666666671"/>
    <n v="2366.4221739130435"/>
    <n v="1.4301989234333236E-2"/>
    <x v="1"/>
  </r>
  <r>
    <s v="2025-04-30"/>
    <x v="4"/>
    <n v="2367.4899999999998"/>
    <n v="2375.91"/>
    <n v="2359.31"/>
    <n v="2367.81"/>
    <n v="2368.25"/>
    <n v="232661"/>
    <n v="1.3516424567798122E-4"/>
    <n v="2371.81"/>
    <n v="2369.2993333333338"/>
    <n v="2366.7345454545452"/>
    <n v="7.0116452445416495E-3"/>
    <x v="1"/>
  </r>
  <r>
    <s v="2025-05-01"/>
    <x v="4"/>
    <n v="2378.4899999999998"/>
    <n v="2396.9899999999998"/>
    <n v="2368.19"/>
    <n v="2381.09"/>
    <n v="2380.04"/>
    <n v="264903"/>
    <n v="1.0931305155793651E-3"/>
    <n v="2373.3575000000001"/>
    <n v="2368.0846666666671"/>
    <n v="2366.6623809523808"/>
    <n v="1.210852263410808E-2"/>
    <x v="2"/>
  </r>
  <r>
    <s v="2025-05-02"/>
    <x v="4"/>
    <n v="2359.8200000000002"/>
    <n v="2377.16"/>
    <n v="2348.46"/>
    <n v="2367.2800000000002"/>
    <n v="2367.9499999999998"/>
    <n v="201657"/>
    <n v="3.1612580620555956E-3"/>
    <n v="2370.1837500000001"/>
    <n v="2367.9106666666671"/>
    <n v="2365.9934999999996"/>
    <n v="1.2161944555093108E-2"/>
    <x v="2"/>
  </r>
  <r>
    <s v="2025-05-05"/>
    <x v="4"/>
    <n v="2369.39"/>
    <n v="2381.17"/>
    <n v="2355.59"/>
    <n v="2364.4699999999998"/>
    <n v="2363.14"/>
    <n v="278016"/>
    <n v="-2.0764838207302612E-3"/>
    <n v="2369.61625"/>
    <n v="2367.6939999999991"/>
    <n v="2365.8905263157885"/>
    <n v="1.0796027669568931E-2"/>
    <x v="2"/>
  </r>
  <r>
    <s v="2025-05-06"/>
    <x v="4"/>
    <n v="2373.34"/>
    <n v="2381.59"/>
    <n v="2366.9"/>
    <n v="2376.31"/>
    <n v="2374.4"/>
    <n v="209271"/>
    <n v="1.2514009792106481E-3"/>
    <n v="2367.6387500000001"/>
    <n v="2366.5733333333333"/>
    <n v="2366.0433333333331"/>
    <n v="6.1895893550861034E-3"/>
    <x v="2"/>
  </r>
  <r>
    <s v="2025-05-07"/>
    <x v="4"/>
    <n v="2379.25"/>
    <n v="2392.4499999999998"/>
    <n v="2370.77"/>
    <n v="2389.73"/>
    <n v="2389.29"/>
    <n v="272344"/>
    <n v="4.4047493958180176E-3"/>
    <n v="2369.4787499999998"/>
    <n v="2364.9079999999999"/>
    <n v="2365.5517647058819"/>
    <n v="9.1121151623410057E-3"/>
    <x v="2"/>
  </r>
  <r>
    <s v="2025-05-08"/>
    <x v="4"/>
    <n v="2366.12"/>
    <n v="2385.94"/>
    <n v="2359.0700000000002"/>
    <n v="2385.4"/>
    <n v="2386.1799999999998"/>
    <n v="182260"/>
    <n v="8.1483610298717733E-3"/>
    <n v="2366.2337500000003"/>
    <n v="2363.69"/>
    <n v="2364.0681249999998"/>
    <n v="1.1356144236133372E-2"/>
    <x v="2"/>
  </r>
  <r>
    <s v="2025-05-09"/>
    <x v="4"/>
    <n v="2352.64"/>
    <n v="2368.4"/>
    <n v="2337.25"/>
    <n v="2343.2600000000002"/>
    <n v="2345.23"/>
    <n v="168722"/>
    <n v="-3.9870103373230307E-3"/>
    <n v="2363.7800000000002"/>
    <n v="2362.5939999999996"/>
    <n v="2362.5939999999996"/>
    <n v="1.3240444776931487E-2"/>
    <x v="2"/>
  </r>
  <r>
    <s v="2025-05-12"/>
    <x v="4"/>
    <n v="2372.69"/>
    <n v="2381.8000000000002"/>
    <n v="2366.5"/>
    <n v="2382.29"/>
    <n v="2380.63"/>
    <n v="179608"/>
    <n v="4.0460405699859273E-3"/>
    <n v="2364.38"/>
    <n v="2363.8342857142857"/>
    <n v="2363.8342857142857"/>
    <n v="6.4483771584152088E-3"/>
    <x v="2"/>
  </r>
  <r>
    <s v="2025-05-13"/>
    <x v="4"/>
    <n v="2355.9899999999998"/>
    <n v="2366.31"/>
    <n v="2349.9499999999998"/>
    <n v="2354.5700000000002"/>
    <n v="2354.65"/>
    <n v="451427"/>
    <n v="-6.0271902682083466E-4"/>
    <n v="2363.98"/>
    <n v="2362.542307692308"/>
    <n v="2362.542307692308"/>
    <n v="6.9440023090081571E-3"/>
    <x v="2"/>
  </r>
  <r>
    <s v="2025-05-14"/>
    <x v="4"/>
    <n v="2369.34"/>
    <n v="2387.54"/>
    <n v="2354.58"/>
    <n v="2363.2800000000002"/>
    <n v="2363.41"/>
    <n v="217413"/>
    <n v="-2.557674289042495E-3"/>
    <n v="2365.2362499999999"/>
    <n v="2363.2000000000003"/>
    <n v="2363.2000000000003"/>
    <n v="1.3911046958224668E-2"/>
    <x v="2"/>
  </r>
  <r>
    <s v="2025-05-15"/>
    <x v="4"/>
    <n v="2355.27"/>
    <n v="2370.31"/>
    <n v="2335.36"/>
    <n v="2346.67"/>
    <n v="2347.3200000000002"/>
    <n v="419470"/>
    <n v="-3.6513860406662121E-3"/>
    <n v="2363.1012499999997"/>
    <n v="2363.1809090909087"/>
    <n v="2363.1809090909087"/>
    <n v="1.4839063037358697E-2"/>
    <x v="2"/>
  </r>
  <r>
    <s v="2025-05-16"/>
    <x v="4"/>
    <n v="2383.73"/>
    <n v="2395.71"/>
    <n v="2377.83"/>
    <n v="2388.87"/>
    <n v="2389.12"/>
    <n v="243239"/>
    <n v="2.1562844785272964E-3"/>
    <n v="2363.3637499999995"/>
    <n v="2364.7669999999998"/>
    <n v="2364.7669999999998"/>
    <n v="7.5008495089628896E-3"/>
    <x v="2"/>
  </r>
  <r>
    <s v="2025-05-19"/>
    <x v="4"/>
    <n v="2357.09"/>
    <n v="2370.13"/>
    <n v="2350.64"/>
    <n v="2363.5300000000002"/>
    <n v="2363.33"/>
    <n v="116714"/>
    <n v="2.732182479243497E-3"/>
    <n v="2361.1012500000002"/>
    <n v="2362.0611111111116"/>
    <n v="2362.0611111111116"/>
    <n v="8.2686702671515445E-3"/>
    <x v="2"/>
  </r>
  <r>
    <s v="2025-05-20"/>
    <x v="4"/>
    <n v="2359.64"/>
    <n v="2374.61"/>
    <n v="2342.71"/>
    <n v="2364.84"/>
    <n v="2366.5500000000002"/>
    <n v="100814"/>
    <n v="2.2037259921006058E-3"/>
    <n v="2361.9025000000001"/>
    <n v="2361.9025000000001"/>
    <n v="2361.9025000000001"/>
    <n v="1.3519011374616505E-2"/>
    <x v="2"/>
  </r>
  <r>
    <s v="2025-05-21"/>
    <x v="4"/>
    <n v="2361.66"/>
    <n v="2368.9499999999998"/>
    <n v="2341.77"/>
    <n v="2348.3200000000002"/>
    <n v="2350.0300000000002"/>
    <n v="464982"/>
    <n v="-5.6485692267302205E-3"/>
    <n v="2361.238571428571"/>
    <n v="2361.238571428571"/>
    <n v="2361.238571428571"/>
    <n v="1.1508853941718892E-2"/>
    <x v="2"/>
  </r>
  <r>
    <s v="2025-05-22"/>
    <x v="4"/>
    <n v="2379.13"/>
    <n v="2391.94"/>
    <n v="2364.7800000000002"/>
    <n v="2379.0700000000002"/>
    <n v="2377.4299999999998"/>
    <n v="115372"/>
    <n v="-2.5219302854381822E-5"/>
    <n v="2363.1066666666666"/>
    <n v="2363.1066666666666"/>
    <n v="2363.1066666666666"/>
    <n v="1.1415937758760493E-2"/>
    <x v="2"/>
  </r>
  <r>
    <s v="2025-05-23"/>
    <x v="4"/>
    <n v="2361.73"/>
    <n v="2379.12"/>
    <n v="2345"/>
    <n v="2363.87"/>
    <n v="2364.6999999999998"/>
    <n v="133149"/>
    <n v="9.0611543233133033E-4"/>
    <n v="2360.2419999999997"/>
    <n v="2360.2419999999997"/>
    <n v="2360.2419999999997"/>
    <n v="1.4447036706143331E-2"/>
    <x v="2"/>
  </r>
  <r>
    <s v="2025-05-26"/>
    <x v="4"/>
    <n v="2359.14"/>
    <n v="2365.4499999999998"/>
    <n v="2340.09"/>
    <n v="2346.11"/>
    <n v="2346.33"/>
    <n v="202592"/>
    <n v="-5.5231991318869357E-3"/>
    <n v="2359.1275000000001"/>
    <n v="2359.1275000000001"/>
    <n v="2359.1275000000001"/>
    <n v="1.074967996812384E-2"/>
    <x v="2"/>
  </r>
  <r>
    <s v="2025-05-27"/>
    <x v="4"/>
    <n v="2358.52"/>
    <n v="2370.23"/>
    <n v="2344.5100000000002"/>
    <n v="2349.36"/>
    <n v="2349.42"/>
    <n v="292274"/>
    <n v="-3.8837915302816404E-3"/>
    <n v="2363.3933333333334"/>
    <n v="2363.3933333333334"/>
    <n v="2363.3933333333334"/>
    <n v="1.0905143903803996E-2"/>
    <x v="2"/>
  </r>
  <r>
    <s v="2025-05-28"/>
    <x v="4"/>
    <n v="2366.94"/>
    <n v="2386.8200000000002"/>
    <n v="2349.17"/>
    <n v="2372.19"/>
    <n v="2371.02"/>
    <n v="440230"/>
    <n v="2.21805368957388E-3"/>
    <n v="2370.38"/>
    <n v="2370.38"/>
    <n v="2370.38"/>
    <n v="1.5906613602372721E-2"/>
    <x v="2"/>
  </r>
  <r>
    <s v="2025-05-29"/>
    <x v="4"/>
    <n v="2362.61"/>
    <n v="2380.7800000000002"/>
    <n v="2344.59"/>
    <n v="2368.52"/>
    <n v="2369.7399999999998"/>
    <n v="211867"/>
    <n v="2.5014708309877018E-3"/>
    <n v="2369.7399999999998"/>
    <n v="2369.7399999999998"/>
    <n v="2369.7399999999998"/>
    <n v="1.5317805308535921E-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2025-05-29"/>
    <x v="0"/>
    <n v="693.24"/>
    <n v="693.24"/>
    <n v="0"/>
  </r>
  <r>
    <s v="2025-05-28"/>
    <x v="0"/>
    <n v="680.38"/>
    <n v="693.24"/>
    <n v="-1.8550574115746343E-2"/>
  </r>
  <r>
    <s v="2025-05-27"/>
    <x v="0"/>
    <n v="694.41"/>
    <n v="694.41"/>
    <n v="0"/>
  </r>
  <r>
    <s v="2025-05-26"/>
    <x v="0"/>
    <n v="686.72"/>
    <n v="694.41"/>
    <n v="-1.1074149277804146E-2"/>
  </r>
  <r>
    <s v="2025-05-23"/>
    <x v="0"/>
    <n v="678.92"/>
    <n v="694.41"/>
    <n v="-2.23067064126381E-2"/>
  </r>
  <r>
    <s v="2025-05-22"/>
    <x v="0"/>
    <n v="695.72"/>
    <n v="695.72"/>
    <n v="0"/>
  </r>
  <r>
    <s v="2025-05-21"/>
    <x v="0"/>
    <n v="688.17"/>
    <n v="695.72"/>
    <n v="-1.0852066923475068E-2"/>
  </r>
  <r>
    <s v="2025-05-20"/>
    <x v="0"/>
    <n v="679.16"/>
    <n v="695.72"/>
    <n v="-2.3802679238774327E-2"/>
  </r>
  <r>
    <s v="2025-05-19"/>
    <x v="0"/>
    <n v="671.86"/>
    <n v="695.72"/>
    <n v="-3.4295406197895728E-2"/>
  </r>
  <r>
    <s v="2025-05-16"/>
    <x v="0"/>
    <n v="670.66"/>
    <n v="695.72"/>
    <n v="-3.6020238026792439E-2"/>
  </r>
  <r>
    <s v="2025-05-15"/>
    <x v="0"/>
    <n v="676.81"/>
    <n v="695.72"/>
    <n v="-2.7180474903697016E-2"/>
  </r>
  <r>
    <s v="2025-05-14"/>
    <x v="0"/>
    <n v="676.53"/>
    <n v="695.72"/>
    <n v="-2.7582935663772901E-2"/>
  </r>
  <r>
    <s v="2025-05-13"/>
    <x v="0"/>
    <n v="685.8"/>
    <n v="695.72"/>
    <n v="-1.425860978554605E-2"/>
  </r>
  <r>
    <s v="2025-05-12"/>
    <x v="0"/>
    <n v="668.68"/>
    <n v="695.72"/>
    <n v="-3.8866210544472035E-2"/>
  </r>
  <r>
    <s v="2025-05-09"/>
    <x v="0"/>
    <n v="673.56"/>
    <n v="695.72"/>
    <n v="-3.1851894440292239E-2"/>
  </r>
  <r>
    <s v="2025-05-08"/>
    <x v="0"/>
    <n v="683.06"/>
    <n v="695.72"/>
    <n v="-1.8196975794860126E-2"/>
  </r>
  <r>
    <s v="2025-05-07"/>
    <x v="0"/>
    <n v="700.68"/>
    <n v="700.68"/>
    <n v="0"/>
  </r>
  <r>
    <s v="2025-05-06"/>
    <x v="0"/>
    <n v="696.82"/>
    <n v="700.68"/>
    <n v="-5.508934178226732E-3"/>
  </r>
  <r>
    <s v="2025-05-05"/>
    <x v="0"/>
    <n v="684.59"/>
    <n v="700.68"/>
    <n v="-2.2963406976080236E-2"/>
  </r>
  <r>
    <s v="2025-05-02"/>
    <x v="0"/>
    <n v="680.63"/>
    <n v="700.68"/>
    <n v="-2.8615059656333819E-2"/>
  </r>
  <r>
    <s v="2025-05-01"/>
    <x v="0"/>
    <n v="691.07"/>
    <n v="700.68"/>
    <n v="-1.3715248044756434E-2"/>
  </r>
  <r>
    <s v="2025-04-30"/>
    <x v="0"/>
    <n v="687.36"/>
    <n v="700.68"/>
    <n v="-1.9010104469943445E-2"/>
  </r>
  <r>
    <s v="2025-04-29"/>
    <x v="0"/>
    <n v="695.69"/>
    <n v="700.68"/>
    <n v="-7.1216532511273467E-3"/>
  </r>
  <r>
    <s v="2025-04-28"/>
    <x v="0"/>
    <n v="652.79"/>
    <n v="700.68"/>
    <n v="-6.8347890620540031E-2"/>
  </r>
  <r>
    <s v="2025-04-25"/>
    <x v="0"/>
    <n v="672.17"/>
    <n v="700.68"/>
    <n v="-4.0689044927784468E-2"/>
  </r>
  <r>
    <s v="2025-04-24"/>
    <x v="0"/>
    <n v="684.8"/>
    <n v="700.68"/>
    <n v="-2.266369812182456E-2"/>
  </r>
  <r>
    <s v="2025-04-23"/>
    <x v="0"/>
    <n v="674.04"/>
    <n v="700.68"/>
    <n v="-3.8020208939887001E-2"/>
  </r>
  <r>
    <s v="2025-04-22"/>
    <x v="0"/>
    <n v="676.46"/>
    <n v="700.68"/>
    <n v="-3.4566421190843077E-2"/>
  </r>
  <r>
    <s v="2025-04-21"/>
    <x v="0"/>
    <n v="694.1"/>
    <n v="700.68"/>
    <n v="-9.3908774333503198E-3"/>
  </r>
  <r>
    <s v="2025-04-18"/>
    <x v="0"/>
    <n v="682.67"/>
    <n v="700.68"/>
    <n v="-2.5703602214991128E-2"/>
  </r>
  <r>
    <s v="2025-04-17"/>
    <x v="0"/>
    <n v="680.89"/>
    <n v="700.68"/>
    <n v="-2.8243991551064607E-2"/>
  </r>
  <r>
    <s v="2025-04-16"/>
    <x v="0"/>
    <n v="687.58"/>
    <n v="700.68"/>
    <n v="-1.8696123765484796E-2"/>
  </r>
  <r>
    <s v="2025-04-15"/>
    <x v="0"/>
    <n v="679.5"/>
    <n v="700.68"/>
    <n v="-3.0227778729234434E-2"/>
  </r>
  <r>
    <s v="2025-04-14"/>
    <x v="0"/>
    <n v="694.65"/>
    <n v="700.68"/>
    <n v="-8.6059256722040844E-3"/>
  </r>
  <r>
    <s v="2025-04-11"/>
    <x v="0"/>
    <n v="691.69"/>
    <n v="700.68"/>
    <n v="-1.2830393332191492E-2"/>
  </r>
  <r>
    <s v="2025-04-10"/>
    <x v="0"/>
    <n v="688.08"/>
    <n v="700.68"/>
    <n v="-1.7982531255351764E-2"/>
  </r>
  <r>
    <s v="2025-04-09"/>
    <x v="0"/>
    <n v="694.3"/>
    <n v="700.68"/>
    <n v="-9.1054404292972846E-3"/>
  </r>
  <r>
    <s v="2025-04-08"/>
    <x v="0"/>
    <n v="681.61"/>
    <n v="700.68"/>
    <n v="-2.7216418336473036E-2"/>
  </r>
  <r>
    <s v="2025-04-07"/>
    <x v="0"/>
    <n v="655.75"/>
    <n v="700.68"/>
    <n v="-6.4123422960552512E-2"/>
  </r>
  <r>
    <s v="2025-04-04"/>
    <x v="0"/>
    <n v="688.32"/>
    <n v="700.68"/>
    <n v="-1.7640006850487944E-2"/>
  </r>
  <r>
    <s v="2025-04-03"/>
    <x v="0"/>
    <n v="680.01"/>
    <n v="700.68"/>
    <n v="-2.9499914368898761E-2"/>
  </r>
  <r>
    <s v="2025-04-02"/>
    <x v="0"/>
    <n v="678.3"/>
    <n v="700.68"/>
    <n v="-3.1940400753553644E-2"/>
  </r>
  <r>
    <s v="2025-04-01"/>
    <x v="0"/>
    <n v="673.87"/>
    <n v="700.68"/>
    <n v="-3.8262830393332115E-2"/>
  </r>
  <r>
    <s v="2025-03-31"/>
    <x v="0"/>
    <n v="677.21"/>
    <n v="700.68"/>
    <n v="-3.3496032425643585E-2"/>
  </r>
  <r>
    <s v="2025-03-28"/>
    <x v="0"/>
    <n v="704.89"/>
    <n v="704.89"/>
    <n v="0"/>
  </r>
  <r>
    <s v="2025-03-27"/>
    <x v="0"/>
    <n v="679.38"/>
    <n v="704.89"/>
    <n v="-3.6190043836626939E-2"/>
  </r>
  <r>
    <s v="2025-03-26"/>
    <x v="0"/>
    <n v="676.72"/>
    <n v="704.89"/>
    <n v="-3.9963682276667245E-2"/>
  </r>
  <r>
    <s v="2025-03-25"/>
    <x v="0"/>
    <n v="681.61"/>
    <n v="704.89"/>
    <n v="-3.3026429655690914E-2"/>
  </r>
  <r>
    <s v="2025-03-24"/>
    <x v="0"/>
    <n v="675.91"/>
    <n v="704.89"/>
    <n v="-4.1112797741491569E-2"/>
  </r>
  <r>
    <s v="2025-03-21"/>
    <x v="0"/>
    <n v="683.44"/>
    <n v="704.89"/>
    <n v="-3.0430279901828561E-2"/>
  </r>
  <r>
    <s v="2025-03-20"/>
    <x v="0"/>
    <n v="691.23"/>
    <n v="704.89"/>
    <n v="-1.9378910184567721E-2"/>
  </r>
  <r>
    <s v="2025-03-19"/>
    <x v="0"/>
    <n v="690.2"/>
    <n v="704.89"/>
    <n v="-2.084013108428262E-2"/>
  </r>
  <r>
    <s v="2025-03-18"/>
    <x v="0"/>
    <n v="679.76"/>
    <n v="704.89"/>
    <n v="-3.5650952630906896E-2"/>
  </r>
  <r>
    <s v="2025-03-17"/>
    <x v="0"/>
    <n v="689.21"/>
    <n v="704.89"/>
    <n v="-2.2244605541290041E-2"/>
  </r>
  <r>
    <s v="2025-03-14"/>
    <x v="0"/>
    <n v="671.79"/>
    <n v="704.89"/>
    <n v="-4.6957681340351054E-2"/>
  </r>
  <r>
    <s v="2025-03-13"/>
    <x v="0"/>
    <n v="679.61"/>
    <n v="704.89"/>
    <n v="-3.5863751791059606E-2"/>
  </r>
  <r>
    <s v="2025-03-12"/>
    <x v="0"/>
    <n v="686.61"/>
    <n v="704.89"/>
    <n v="-2.5933124317269352E-2"/>
  </r>
  <r>
    <s v="2025-03-11"/>
    <x v="0"/>
    <n v="685.43"/>
    <n v="704.89"/>
    <n v="-2.7607144377136961E-2"/>
  </r>
  <r>
    <s v="2025-03-10"/>
    <x v="0"/>
    <n v="667.77"/>
    <n v="704.89"/>
    <n v="-5.2660698832441954E-2"/>
  </r>
  <r>
    <s v="2025-03-07"/>
    <x v="0"/>
    <n v="692.82"/>
    <n v="704.89"/>
    <n v="-1.7123239086949682E-2"/>
  </r>
  <r>
    <s v="2025-05-29"/>
    <x v="1"/>
    <n v="1255.93"/>
    <n v="1255.93"/>
    <n v="0"/>
  </r>
  <r>
    <s v="2025-05-28"/>
    <x v="1"/>
    <n v="1238.8900000000001"/>
    <n v="1255.93"/>
    <n v="-1.3567635138901024E-2"/>
  </r>
  <r>
    <s v="2025-05-27"/>
    <x v="1"/>
    <n v="1285.17"/>
    <n v="1285.17"/>
    <n v="0"/>
  </r>
  <r>
    <s v="2025-05-26"/>
    <x v="1"/>
    <n v="1277.46"/>
    <n v="1285.17"/>
    <n v="-5.9992063306799626E-3"/>
  </r>
  <r>
    <s v="2025-05-23"/>
    <x v="1"/>
    <n v="1252.72"/>
    <n v="1285.17"/>
    <n v="-2.5249577876856777E-2"/>
  </r>
  <r>
    <s v="2025-05-22"/>
    <x v="1"/>
    <n v="1250.1199999999999"/>
    <n v="1285.17"/>
    <n v="-2.7272656535711315E-2"/>
  </r>
  <r>
    <s v="2025-05-21"/>
    <x v="1"/>
    <n v="1260.45"/>
    <n v="1285.17"/>
    <n v="-1.9234809402647102E-2"/>
  </r>
  <r>
    <s v="2025-05-20"/>
    <x v="1"/>
    <n v="1241.6099999999999"/>
    <n v="1285.17"/>
    <n v="-3.389434860757734E-2"/>
  </r>
  <r>
    <s v="2025-05-19"/>
    <x v="1"/>
    <n v="1263.6300000000001"/>
    <n v="1285.17"/>
    <n v="-1.6760428581432785E-2"/>
  </r>
  <r>
    <s v="2025-05-16"/>
    <x v="1"/>
    <n v="1247.71"/>
    <n v="1285.17"/>
    <n v="-2.9147894831034082E-2"/>
  </r>
  <r>
    <s v="2025-05-15"/>
    <x v="1"/>
    <n v="1237.6600000000001"/>
    <n v="1285.17"/>
    <n v="-3.6967871954682985E-2"/>
  </r>
  <r>
    <s v="2025-05-14"/>
    <x v="1"/>
    <n v="1245.4000000000001"/>
    <n v="1285.17"/>
    <n v="-3.0945322408708509E-2"/>
  </r>
  <r>
    <s v="2025-05-13"/>
    <x v="1"/>
    <n v="1272.8"/>
    <n v="1285.17"/>
    <n v="-9.6251857730884627E-3"/>
  </r>
  <r>
    <s v="2025-05-12"/>
    <x v="1"/>
    <n v="1251.74"/>
    <n v="1285.17"/>
    <n v="-2.6012122909809698E-2"/>
  </r>
  <r>
    <s v="2025-05-09"/>
    <x v="1"/>
    <n v="1259.25"/>
    <n v="1285.17"/>
    <n v="-2.0168538014426196E-2"/>
  </r>
  <r>
    <s v="2025-05-08"/>
    <x v="1"/>
    <n v="1232.79"/>
    <n v="1285.17"/>
    <n v="-4.0757253904152857E-2"/>
  </r>
  <r>
    <s v="2025-05-07"/>
    <x v="1"/>
    <n v="1248.05"/>
    <n v="1285.17"/>
    <n v="-2.8883338391030078E-2"/>
  </r>
  <r>
    <s v="2025-05-06"/>
    <x v="1"/>
    <n v="1255.45"/>
    <n v="1285.17"/>
    <n v="-2.3125345285059606E-2"/>
  </r>
  <r>
    <s v="2025-05-05"/>
    <x v="1"/>
    <n v="1273.8499999999999"/>
    <n v="1285.17"/>
    <n v="-8.8081732377819355E-3"/>
  </r>
  <r>
    <s v="2025-05-02"/>
    <x v="1"/>
    <n v="1286.94"/>
    <n v="1286.94"/>
    <n v="0"/>
  </r>
  <r>
    <s v="2025-05-01"/>
    <x v="1"/>
    <n v="1268.55"/>
    <n v="1286.94"/>
    <n v="-1.4289710476012907E-2"/>
  </r>
  <r>
    <s v="2025-04-30"/>
    <x v="1"/>
    <n v="1257.45"/>
    <n v="1286.94"/>
    <n v="-2.291482120378574E-2"/>
  </r>
  <r>
    <s v="2025-04-29"/>
    <x v="1"/>
    <n v="1236.69"/>
    <n v="1286.94"/>
    <n v="-3.9046109375728499E-2"/>
  </r>
  <r>
    <s v="2025-04-28"/>
    <x v="1"/>
    <n v="1252.96"/>
    <n v="1286.94"/>
    <n v="-2.6403717345020006E-2"/>
  </r>
  <r>
    <s v="2025-04-25"/>
    <x v="1"/>
    <n v="1226.5999999999999"/>
    <n v="1286.94"/>
    <n v="-4.6886412730974381E-2"/>
  </r>
  <r>
    <s v="2025-04-24"/>
    <x v="1"/>
    <n v="1244.5999999999999"/>
    <n v="1286.94"/>
    <n v="-3.2899746685937314E-2"/>
  </r>
  <r>
    <s v="2025-04-23"/>
    <x v="1"/>
    <n v="1250.52"/>
    <n v="1286.94"/>
    <n v="-2.8299687631125003E-2"/>
  </r>
  <r>
    <s v="2025-04-22"/>
    <x v="1"/>
    <n v="1250.46"/>
    <n v="1286.94"/>
    <n v="-2.8346309851275175E-2"/>
  </r>
  <r>
    <s v="2025-04-21"/>
    <x v="1"/>
    <n v="1237.6500000000001"/>
    <n v="1286.94"/>
    <n v="-3.8300153853326413E-2"/>
  </r>
  <r>
    <s v="2025-04-18"/>
    <x v="1"/>
    <n v="1233.92"/>
    <n v="1286.94"/>
    <n v="-4.1198501872659166E-2"/>
  </r>
  <r>
    <s v="2025-04-17"/>
    <x v="1"/>
    <n v="1260.3399999999999"/>
    <n v="1286.94"/>
    <n v="-2.0669184266554841E-2"/>
  </r>
  <r>
    <s v="2025-04-16"/>
    <x v="1"/>
    <n v="1261.8699999999999"/>
    <n v="1286.94"/>
    <n v="-1.9480317652726731E-2"/>
  </r>
  <r>
    <s v="2025-04-15"/>
    <x v="1"/>
    <n v="1280.5999999999999"/>
    <n v="1286.94"/>
    <n v="-4.9264145958631822E-3"/>
  </r>
  <r>
    <s v="2025-04-14"/>
    <x v="1"/>
    <n v="1252.7"/>
    <n v="1286.94"/>
    <n v="-2.6605746965670529E-2"/>
  </r>
  <r>
    <s v="2025-04-11"/>
    <x v="1"/>
    <n v="1259.99"/>
    <n v="1286.94"/>
    <n v="-2.0941147217430567E-2"/>
  </r>
  <r>
    <s v="2025-04-10"/>
    <x v="1"/>
    <n v="1271.26"/>
    <n v="1286.94"/>
    <n v="-1.2183940199232302E-2"/>
  </r>
  <r>
    <s v="2025-04-09"/>
    <x v="1"/>
    <n v="1246.95"/>
    <n v="1286.94"/>
    <n v="-3.1073709730057297E-2"/>
  </r>
  <r>
    <s v="2025-04-08"/>
    <x v="1"/>
    <n v="1258.92"/>
    <n v="1286.94"/>
    <n v="-2.1772576810107691E-2"/>
  </r>
  <r>
    <s v="2025-04-07"/>
    <x v="1"/>
    <n v="1248.96"/>
    <n v="1286.94"/>
    <n v="-2.9511865355028255E-2"/>
  </r>
  <r>
    <s v="2025-04-04"/>
    <x v="1"/>
    <n v="1231.47"/>
    <n v="1286.94"/>
    <n v="-4.3102242528789247E-2"/>
  </r>
  <r>
    <s v="2025-04-03"/>
    <x v="1"/>
    <n v="1251.56"/>
    <n v="1286.94"/>
    <n v="-2.749156914852291E-2"/>
  </r>
  <r>
    <s v="2025-04-02"/>
    <x v="1"/>
    <n v="1259.19"/>
    <n v="1286.94"/>
    <n v="-2.1562776819432194E-2"/>
  </r>
  <r>
    <s v="2025-04-01"/>
    <x v="1"/>
    <n v="1245.98"/>
    <n v="1286.94"/>
    <n v="-3.1827435622484357E-2"/>
  </r>
  <r>
    <s v="2025-03-31"/>
    <x v="1"/>
    <n v="1260.3599999999999"/>
    <n v="1286.94"/>
    <n v="-2.0653643526504895E-2"/>
  </r>
  <r>
    <s v="2025-03-28"/>
    <x v="1"/>
    <n v="1231.27"/>
    <n v="1286.94"/>
    <n v="-4.325764992928971E-2"/>
  </r>
  <r>
    <s v="2025-03-27"/>
    <x v="1"/>
    <n v="1259.42"/>
    <n v="1286.94"/>
    <n v="-2.1384058308856702E-2"/>
  </r>
  <r>
    <s v="2025-03-26"/>
    <x v="1"/>
    <n v="1257.31"/>
    <n v="1286.94"/>
    <n v="-2.3023606384136142E-2"/>
  </r>
  <r>
    <s v="2025-03-25"/>
    <x v="1"/>
    <n v="1260.32"/>
    <n v="1286.94"/>
    <n v="-2.0684725006604898E-2"/>
  </r>
  <r>
    <s v="2025-03-24"/>
    <x v="1"/>
    <n v="1253.6600000000001"/>
    <n v="1286.94"/>
    <n v="-2.5859791443268554E-2"/>
  </r>
  <r>
    <s v="2025-03-21"/>
    <x v="1"/>
    <n v="1268.8599999999999"/>
    <n v="1286.94"/>
    <n v="-1.4048829005237295E-2"/>
  </r>
  <r>
    <s v="2025-03-20"/>
    <x v="1"/>
    <n v="1264.44"/>
    <n v="1286.94"/>
    <n v="-1.7483332556296305E-2"/>
  </r>
  <r>
    <s v="2025-03-19"/>
    <x v="1"/>
    <n v="1248.02"/>
    <n v="1286.94"/>
    <n v="-3.0242280137380173E-2"/>
  </r>
  <r>
    <s v="2025-03-18"/>
    <x v="1"/>
    <n v="1246.23"/>
    <n v="1286.94"/>
    <n v="-3.1633176371858807E-2"/>
  </r>
  <r>
    <s v="2025-03-17"/>
    <x v="1"/>
    <n v="1269.73"/>
    <n v="1286.94"/>
    <n v="-1.3372806813060412E-2"/>
  </r>
  <r>
    <s v="2025-03-14"/>
    <x v="1"/>
    <n v="1262.51"/>
    <n v="1286.94"/>
    <n v="-1.898301397112534E-2"/>
  </r>
  <r>
    <s v="2025-03-13"/>
    <x v="1"/>
    <n v="1242.2"/>
    <n v="1286.94"/>
    <n v="-3.4764635491942086E-2"/>
  </r>
  <r>
    <s v="2025-03-12"/>
    <x v="1"/>
    <n v="1251.31"/>
    <n v="1286.94"/>
    <n v="-2.768582839914846E-2"/>
  </r>
  <r>
    <s v="2025-03-11"/>
    <x v="1"/>
    <n v="1243.5999999999999"/>
    <n v="1286.94"/>
    <n v="-3.3676783688439405E-2"/>
  </r>
  <r>
    <s v="2025-03-10"/>
    <x v="1"/>
    <n v="1258.04"/>
    <n v="1286.94"/>
    <n v="-2.2456369372309548E-2"/>
  </r>
  <r>
    <s v="2025-03-07"/>
    <x v="1"/>
    <n v="1262.3699999999999"/>
    <n v="1286.94"/>
    <n v="-1.9091799151475741E-2"/>
  </r>
  <r>
    <s v="2025-05-29"/>
    <x v="2"/>
    <n v="2368.52"/>
    <n v="2368.52"/>
    <n v="0"/>
  </r>
  <r>
    <s v="2025-05-28"/>
    <x v="2"/>
    <n v="2372.19"/>
    <n v="2372.19"/>
    <n v="0"/>
  </r>
  <r>
    <s v="2025-05-27"/>
    <x v="2"/>
    <n v="2349.36"/>
    <n v="2372.19"/>
    <n v="-9.624018312192506E-3"/>
  </r>
  <r>
    <s v="2025-05-26"/>
    <x v="2"/>
    <n v="2346.11"/>
    <n v="2372.19"/>
    <n v="-1.0994060340866474E-2"/>
  </r>
  <r>
    <s v="2025-05-23"/>
    <x v="2"/>
    <n v="2363.87"/>
    <n v="2372.19"/>
    <n v="-3.5073075934053399E-3"/>
  </r>
  <r>
    <s v="2025-05-22"/>
    <x v="2"/>
    <n v="2379.0700000000002"/>
    <n v="2379.0700000000002"/>
    <n v="0"/>
  </r>
  <r>
    <s v="2025-05-21"/>
    <x v="2"/>
    <n v="2348.3200000000002"/>
    <n v="2379.0700000000002"/>
    <n v="-1.2925218677886763E-2"/>
  </r>
  <r>
    <s v="2025-05-20"/>
    <x v="2"/>
    <n v="2364.84"/>
    <n v="2379.0700000000002"/>
    <n v="-5.9813288385798247E-3"/>
  </r>
  <r>
    <s v="2025-05-19"/>
    <x v="2"/>
    <n v="2363.5300000000002"/>
    <n v="2379.0700000000002"/>
    <n v="-6.5319641708734277E-3"/>
  </r>
  <r>
    <s v="2025-05-16"/>
    <x v="2"/>
    <n v="2388.87"/>
    <n v="2388.87"/>
    <n v="0"/>
  </r>
  <r>
    <s v="2025-05-15"/>
    <x v="2"/>
    <n v="2346.67"/>
    <n v="2388.87"/>
    <n v="-1.7665255957837744E-2"/>
  </r>
  <r>
    <s v="2025-05-14"/>
    <x v="2"/>
    <n v="2363.2800000000002"/>
    <n v="2388.87"/>
    <n v="-1.0712177724195859E-2"/>
  </r>
  <r>
    <s v="2025-05-13"/>
    <x v="2"/>
    <n v="2354.5700000000002"/>
    <n v="2388.87"/>
    <n v="-1.4358253065256732E-2"/>
  </r>
  <r>
    <s v="2025-05-12"/>
    <x v="2"/>
    <n v="2382.29"/>
    <n v="2388.87"/>
    <n v="-2.754440383947232E-3"/>
  </r>
  <r>
    <s v="2025-05-09"/>
    <x v="2"/>
    <n v="2343.2600000000002"/>
    <n v="2388.87"/>
    <n v="-1.9092709105141603E-2"/>
  </r>
  <r>
    <s v="2025-05-08"/>
    <x v="2"/>
    <n v="2385.4"/>
    <n v="2388.87"/>
    <n v="-1.4525696249690911E-3"/>
  </r>
  <r>
    <s v="2025-05-07"/>
    <x v="2"/>
    <n v="2389.73"/>
    <n v="2389.73"/>
    <n v="0"/>
  </r>
  <r>
    <s v="2025-05-06"/>
    <x v="2"/>
    <n v="2376.31"/>
    <n v="2389.73"/>
    <n v="-5.6156971708101189E-3"/>
  </r>
  <r>
    <s v="2025-05-05"/>
    <x v="2"/>
    <n v="2364.4699999999998"/>
    <n v="2389.73"/>
    <n v="-1.0570231783507023E-2"/>
  </r>
  <r>
    <s v="2025-05-02"/>
    <x v="2"/>
    <n v="2367.2800000000002"/>
    <n v="2389.73"/>
    <n v="-9.394366727621839E-3"/>
  </r>
  <r>
    <s v="2025-05-01"/>
    <x v="2"/>
    <n v="2381.09"/>
    <n v="2389.73"/>
    <n v="-3.6154712038597436E-3"/>
  </r>
  <r>
    <s v="2025-04-30"/>
    <x v="2"/>
    <n v="2367.81"/>
    <n v="2389.73"/>
    <n v="-9.1725843505333637E-3"/>
  </r>
  <r>
    <s v="2025-04-29"/>
    <x v="2"/>
    <n v="2359.14"/>
    <n v="2389.73"/>
    <n v="-1.2800609273851071E-2"/>
  </r>
  <r>
    <s v="2025-04-28"/>
    <x v="2"/>
    <n v="2356.87"/>
    <n v="2389.73"/>
    <n v="-1.3750507379494792E-2"/>
  </r>
  <r>
    <s v="2025-04-25"/>
    <x v="2"/>
    <n v="2358.69"/>
    <n v="2389.73"/>
    <n v="-1.2988915065718754E-2"/>
  </r>
  <r>
    <s v="2025-04-24"/>
    <x v="2"/>
    <n v="2363.9899999999998"/>
    <n v="2389.73"/>
    <n v="-1.0771091294832558E-2"/>
  </r>
  <r>
    <s v="2025-04-23"/>
    <x v="2"/>
    <n v="2375.33"/>
    <n v="2389.73"/>
    <n v="-6.0257853397664984E-3"/>
  </r>
  <r>
    <s v="2025-04-22"/>
    <x v="2"/>
    <n v="2359.7800000000002"/>
    <n v="2389.73"/>
    <n v="-1.2532796592083506E-2"/>
  </r>
  <r>
    <s v="2025-04-21"/>
    <x v="2"/>
    <n v="2372.94"/>
    <n v="2389.73"/>
    <n v="-7.0258983232415195E-3"/>
  </r>
  <r>
    <s v="2025-04-18"/>
    <x v="2"/>
    <n v="2388.25"/>
    <n v="2389.73"/>
    <n v="-6.1931682658711296E-4"/>
  </r>
  <r>
    <s v="2025-04-17"/>
    <x v="2"/>
    <n v="2362.0700000000002"/>
    <n v="2389.73"/>
    <n v="-1.1574529340134587E-2"/>
  </r>
  <r>
    <s v="2025-04-16"/>
    <x v="2"/>
    <n v="2367.7600000000002"/>
    <n v="2389.73"/>
    <n v="-9.1935072162963039E-3"/>
  </r>
  <r>
    <s v="2025-04-15"/>
    <x v="2"/>
    <n v="2347.09"/>
    <n v="2389.73"/>
    <n v="-1.7843019922752723E-2"/>
  </r>
  <r>
    <s v="2025-04-14"/>
    <x v="2"/>
    <n v="2378.27"/>
    <n v="2389.73"/>
    <n v="-4.7955208328974708E-3"/>
  </r>
  <r>
    <s v="2025-04-11"/>
    <x v="2"/>
    <n v="2360.67"/>
    <n v="2389.73"/>
    <n v="-1.2160369581500796E-2"/>
  </r>
  <r>
    <s v="2025-04-10"/>
    <x v="2"/>
    <n v="2379.1999999999998"/>
    <n v="2389.73"/>
    <n v="-4.4063555297042534E-3"/>
  </r>
  <r>
    <s v="2025-04-09"/>
    <x v="2"/>
    <n v="2374.9899999999998"/>
    <n v="2389.73"/>
    <n v="-6.1680608269554238E-3"/>
  </r>
  <r>
    <s v="2025-04-08"/>
    <x v="2"/>
    <n v="2368.66"/>
    <n v="2389.73"/>
    <n v="-8.8168956325610504E-3"/>
  </r>
  <r>
    <s v="2025-04-07"/>
    <x v="2"/>
    <n v="2358.1999999999998"/>
    <n v="2389.73"/>
    <n v="-1.3193959150196943E-2"/>
  </r>
  <r>
    <s v="2025-04-04"/>
    <x v="2"/>
    <n v="2380.6799999999998"/>
    <n v="2389.73"/>
    <n v="-3.7870387031171404E-3"/>
  </r>
  <r>
    <s v="2025-04-03"/>
    <x v="2"/>
    <n v="2374.83"/>
    <n v="2389.73"/>
    <n v="-6.2350139973972318E-3"/>
  </r>
  <r>
    <s v="2025-04-02"/>
    <x v="2"/>
    <n v="2375.5100000000002"/>
    <n v="2389.73"/>
    <n v="-5.9504630230192701E-3"/>
  </r>
  <r>
    <s v="2025-04-01"/>
    <x v="2"/>
    <n v="2358.62"/>
    <n v="2389.73"/>
    <n v="-1.3018207077787114E-2"/>
  </r>
  <r>
    <s v="2025-03-31"/>
    <x v="2"/>
    <n v="2388"/>
    <n v="2389.73"/>
    <n v="-7.2393115540247965E-4"/>
  </r>
  <r>
    <s v="2025-03-28"/>
    <x v="2"/>
    <n v="2373.75"/>
    <n v="2389.73"/>
    <n v="-6.6869478978797137E-3"/>
  </r>
  <r>
    <s v="2025-03-27"/>
    <x v="2"/>
    <n v="2372.4899999999998"/>
    <n v="2389.73"/>
    <n v="-7.2142041151093128E-3"/>
  </r>
  <r>
    <s v="2025-03-26"/>
    <x v="2"/>
    <n v="2370.77"/>
    <n v="2389.73"/>
    <n v="-7.9339506973591378E-3"/>
  </r>
  <r>
    <s v="2025-03-25"/>
    <x v="2"/>
    <n v="2379.1999999999998"/>
    <n v="2389.73"/>
    <n v="-4.4063555297042534E-3"/>
  </r>
  <r>
    <s v="2025-03-24"/>
    <x v="2"/>
    <n v="2378.81"/>
    <n v="2389.73"/>
    <n v="-4.5695538826562299E-3"/>
  </r>
  <r>
    <s v="2025-03-21"/>
    <x v="2"/>
    <n v="2386.2600000000002"/>
    <n v="2389.73"/>
    <n v="-1.4520468839575029E-3"/>
  </r>
  <r>
    <s v="2025-03-20"/>
    <x v="2"/>
    <n v="2350.31"/>
    <n v="2389.73"/>
    <n v="-1.6495587367610587E-2"/>
  </r>
  <r>
    <s v="2025-03-19"/>
    <x v="2"/>
    <n v="2367.92"/>
    <n v="2389.73"/>
    <n v="-9.1265540458544958E-3"/>
  </r>
  <r>
    <s v="2025-03-18"/>
    <x v="2"/>
    <n v="2367.3200000000002"/>
    <n v="2389.73"/>
    <n v="-9.3776284350114425E-3"/>
  </r>
  <r>
    <s v="2025-03-17"/>
    <x v="2"/>
    <n v="2358.73"/>
    <n v="2389.73"/>
    <n v="-1.2972176773108246E-2"/>
  </r>
  <r>
    <s v="2025-03-14"/>
    <x v="2"/>
    <n v="2370.62"/>
    <n v="2389.73"/>
    <n v="-7.9967192946484023E-3"/>
  </r>
  <r>
    <s v="2025-03-13"/>
    <x v="2"/>
    <n v="2372.81"/>
    <n v="2389.73"/>
    <n v="-7.0802977742255857E-3"/>
  </r>
  <r>
    <s v="2025-03-12"/>
    <x v="2"/>
    <n v="2365.3000000000002"/>
    <n v="2389.73"/>
    <n v="-1.0222912211839796E-2"/>
  </r>
  <r>
    <s v="2025-03-11"/>
    <x v="2"/>
    <n v="2367.3200000000002"/>
    <n v="2389.73"/>
    <n v="-9.3776284350114425E-3"/>
  </r>
  <r>
    <s v="2025-03-10"/>
    <x v="2"/>
    <n v="2363.1799999999998"/>
    <n v="2389.73"/>
    <n v="-1.1110041720194364E-2"/>
  </r>
  <r>
    <s v="2025-03-07"/>
    <x v="2"/>
    <n v="2354.52"/>
    <n v="2389.73"/>
    <n v="-1.4733882070359416E-2"/>
  </r>
  <r>
    <s v="2025-05-29"/>
    <x v="3"/>
    <n v="2901.47"/>
    <n v="2901.47"/>
    <n v="0"/>
  </r>
  <r>
    <s v="2025-05-28"/>
    <x v="3"/>
    <n v="2910.52"/>
    <n v="2910.52"/>
    <n v="0"/>
  </r>
  <r>
    <s v="2025-05-27"/>
    <x v="3"/>
    <n v="2888.71"/>
    <n v="2910.52"/>
    <n v="-7.4935063150227688E-3"/>
  </r>
  <r>
    <s v="2025-05-26"/>
    <x v="3"/>
    <n v="2872.62"/>
    <n v="2910.52"/>
    <n v="-1.3021728076082706E-2"/>
  </r>
  <r>
    <s v="2025-05-23"/>
    <x v="3"/>
    <n v="2920.44"/>
    <n v="2920.44"/>
    <n v="0"/>
  </r>
  <r>
    <s v="2025-05-22"/>
    <x v="3"/>
    <n v="2887.41"/>
    <n v="2920.44"/>
    <n v="-1.130993959814286E-2"/>
  </r>
  <r>
    <s v="2025-05-21"/>
    <x v="3"/>
    <n v="2878.36"/>
    <n v="2920.44"/>
    <n v="-1.4408787716919336E-2"/>
  </r>
  <r>
    <s v="2025-05-20"/>
    <x v="3"/>
    <n v="2882.98"/>
    <n v="2920.44"/>
    <n v="-1.2826834312637869E-2"/>
  </r>
  <r>
    <s v="2025-05-19"/>
    <x v="3"/>
    <n v="2890.92"/>
    <n v="2920.44"/>
    <n v="-1.010806590787694E-2"/>
  </r>
  <r>
    <s v="2025-05-16"/>
    <x v="3"/>
    <n v="2913.52"/>
    <n v="2920.44"/>
    <n v="-2.3695059648546346E-3"/>
  </r>
  <r>
    <s v="2025-05-15"/>
    <x v="3"/>
    <n v="2893.6"/>
    <n v="2920.44"/>
    <n v="-9.1903959677309688E-3"/>
  </r>
  <r>
    <s v="2025-05-14"/>
    <x v="3"/>
    <n v="2894.34"/>
    <n v="2920.44"/>
    <n v="-8.9370094917203824E-3"/>
  </r>
  <r>
    <s v="2025-05-13"/>
    <x v="3"/>
    <n v="2892.64"/>
    <n v="2920.44"/>
    <n v="-9.5191135582309849E-3"/>
  </r>
  <r>
    <s v="2025-05-12"/>
    <x v="3"/>
    <n v="2885.71"/>
    <n v="2920.44"/>
    <n v="-1.189204366465324E-2"/>
  </r>
  <r>
    <s v="2025-05-09"/>
    <x v="3"/>
    <n v="2883.87"/>
    <n v="2920.44"/>
    <n v="-1.2522085713111752E-2"/>
  </r>
  <r>
    <s v="2025-05-08"/>
    <x v="3"/>
    <n v="2882.5"/>
    <n v="2920.44"/>
    <n v="-1.2991193107887877E-2"/>
  </r>
  <r>
    <s v="2025-05-07"/>
    <x v="3"/>
    <n v="2882.01"/>
    <n v="2920.44"/>
    <n v="-1.3158976044705506E-2"/>
  </r>
  <r>
    <s v="2025-05-06"/>
    <x v="3"/>
    <n v="2895"/>
    <n v="2920.44"/>
    <n v="-8.711016148251649E-3"/>
  </r>
  <r>
    <s v="2025-05-05"/>
    <x v="3"/>
    <n v="2894.37"/>
    <n v="2920.44"/>
    <n v="-8.9267370670174095E-3"/>
  </r>
  <r>
    <s v="2025-05-02"/>
    <x v="3"/>
    <n v="2903.65"/>
    <n v="2920.44"/>
    <n v="-5.749133692183328E-3"/>
  </r>
  <r>
    <s v="2025-05-01"/>
    <x v="3"/>
    <n v="2875.57"/>
    <n v="2920.44"/>
    <n v="-1.5364123214310133E-2"/>
  </r>
  <r>
    <s v="2025-04-30"/>
    <x v="3"/>
    <n v="2912.24"/>
    <n v="2920.44"/>
    <n v="-2.8077960855215078E-3"/>
  </r>
  <r>
    <s v="2025-04-29"/>
    <x v="3"/>
    <n v="2893.81"/>
    <n v="2920.44"/>
    <n v="-9.1184889948090486E-3"/>
  </r>
  <r>
    <s v="2025-04-28"/>
    <x v="3"/>
    <n v="2896.42"/>
    <n v="2920.44"/>
    <n v="-8.2247880456369771E-3"/>
  </r>
  <r>
    <s v="2025-04-25"/>
    <x v="3"/>
    <n v="2876.73"/>
    <n v="2920.44"/>
    <n v="-1.4966922792455928E-2"/>
  </r>
  <r>
    <s v="2025-04-24"/>
    <x v="3"/>
    <n v="2866.82"/>
    <n v="2920.44"/>
    <n v="-1.8360247086055437E-2"/>
  </r>
  <r>
    <s v="2025-04-23"/>
    <x v="3"/>
    <n v="2886.03"/>
    <n v="2920.44"/>
    <n v="-1.1782471134486494E-2"/>
  </r>
  <r>
    <s v="2025-04-22"/>
    <x v="3"/>
    <n v="2892.55"/>
    <n v="2920.44"/>
    <n v="-9.5499308323402365E-3"/>
  </r>
  <r>
    <s v="2025-04-21"/>
    <x v="3"/>
    <n v="2883.12"/>
    <n v="2920.44"/>
    <n v="-1.2778896330689959E-2"/>
  </r>
  <r>
    <s v="2025-04-18"/>
    <x v="3"/>
    <n v="2871.13"/>
    <n v="2920.44"/>
    <n v="-1.6884442070372985E-2"/>
  </r>
  <r>
    <s v="2025-04-17"/>
    <x v="3"/>
    <n v="2912.36"/>
    <n v="2920.44"/>
    <n v="-2.7667063867088393E-3"/>
  </r>
  <r>
    <s v="2025-04-16"/>
    <x v="3"/>
    <n v="2899.51"/>
    <n v="2920.44"/>
    <n v="-7.1667283012147864E-3"/>
  </r>
  <r>
    <s v="2025-04-15"/>
    <x v="3"/>
    <n v="2876.42"/>
    <n v="2920.44"/>
    <n v="-1.5073071181054942E-2"/>
  </r>
  <r>
    <s v="2025-04-14"/>
    <x v="3"/>
    <n v="2899.21"/>
    <n v="2920.44"/>
    <n v="-7.2694525482461803E-3"/>
  </r>
  <r>
    <s v="2025-04-11"/>
    <x v="3"/>
    <n v="2879.56"/>
    <n v="2920.44"/>
    <n v="-1.3997890728794316E-2"/>
  </r>
  <r>
    <s v="2025-04-10"/>
    <x v="3"/>
    <n v="2887.03"/>
    <n v="2920.44"/>
    <n v="-1.1440056977715662E-2"/>
  </r>
  <r>
    <s v="2025-04-09"/>
    <x v="3"/>
    <n v="2863.94"/>
    <n v="2920.44"/>
    <n v="-1.9346399857555707E-2"/>
  </r>
  <r>
    <s v="2025-04-08"/>
    <x v="3"/>
    <n v="2877.85"/>
    <n v="2920.44"/>
    <n v="-1.4583418936872539E-2"/>
  </r>
  <r>
    <s v="2025-04-07"/>
    <x v="3"/>
    <n v="2886.85"/>
    <n v="2920.44"/>
    <n v="-1.1501691525934499E-2"/>
  </r>
  <r>
    <s v="2025-04-04"/>
    <x v="3"/>
    <n v="2878.33"/>
    <n v="2920.44"/>
    <n v="-1.4419060141622531E-2"/>
  </r>
  <r>
    <s v="2025-04-03"/>
    <x v="3"/>
    <n v="2879.13"/>
    <n v="2920.44"/>
    <n v="-1.4145128816205776E-2"/>
  </r>
  <r>
    <s v="2025-04-02"/>
    <x v="3"/>
    <n v="2885.92"/>
    <n v="2920.44"/>
    <n v="-1.1820136691731431E-2"/>
  </r>
  <r>
    <s v="2025-04-01"/>
    <x v="3"/>
    <n v="2920.13"/>
    <n v="2920.44"/>
    <n v="-1.0614838859901443E-4"/>
  </r>
  <r>
    <s v="2025-03-31"/>
    <x v="3"/>
    <n v="2889.89"/>
    <n v="2920.44"/>
    <n v="-1.0460752489350966E-2"/>
  </r>
  <r>
    <s v="2025-03-28"/>
    <x v="3"/>
    <n v="2893.43"/>
    <n v="2920.44"/>
    <n v="-9.2486063743819624E-3"/>
  </r>
  <r>
    <s v="2025-03-27"/>
    <x v="3"/>
    <n v="2898.19"/>
    <n v="2920.44"/>
    <n v="-7.6187149881524752E-3"/>
  </r>
  <r>
    <s v="2025-03-26"/>
    <x v="3"/>
    <n v="2898.58"/>
    <n v="2920.44"/>
    <n v="-7.4851734670118297E-3"/>
  </r>
  <r>
    <s v="2025-03-25"/>
    <x v="3"/>
    <n v="2878.21"/>
    <n v="2920.44"/>
    <n v="-1.4460149840434977E-2"/>
  </r>
  <r>
    <s v="2025-03-24"/>
    <x v="3"/>
    <n v="2873.14"/>
    <n v="2920.44"/>
    <n v="-1.6196189615263479E-2"/>
  </r>
  <r>
    <s v="2025-03-21"/>
    <x v="3"/>
    <n v="2886.21"/>
    <n v="2920.44"/>
    <n v="-1.172083658626788E-2"/>
  </r>
  <r>
    <s v="2025-03-20"/>
    <x v="3"/>
    <n v="2900.85"/>
    <n v="2920.44"/>
    <n v="-6.7078933311419675E-3"/>
  </r>
  <r>
    <s v="2025-03-19"/>
    <x v="3"/>
    <n v="2883.01"/>
    <n v="2920.44"/>
    <n v="-1.2816561887934674E-2"/>
  </r>
  <r>
    <s v="2025-03-18"/>
    <x v="3"/>
    <n v="2887.51"/>
    <n v="2920.44"/>
    <n v="-1.1275698182465654E-2"/>
  </r>
  <r>
    <s v="2025-03-17"/>
    <x v="3"/>
    <n v="2882.36"/>
    <n v="2920.44"/>
    <n v="-1.3039131089835787E-2"/>
  </r>
  <r>
    <s v="2025-03-14"/>
    <x v="3"/>
    <n v="2911.36"/>
    <n v="2920.44"/>
    <n v="-3.1091205434796709E-3"/>
  </r>
  <r>
    <s v="2025-03-13"/>
    <x v="3"/>
    <n v="2869.39"/>
    <n v="2920.44"/>
    <n v="-1.7480242703154403E-2"/>
  </r>
  <r>
    <s v="2025-03-12"/>
    <x v="3"/>
    <n v="2864.22"/>
    <n v="2920.44"/>
    <n v="-1.9250523893659999E-2"/>
  </r>
  <r>
    <s v="2025-03-11"/>
    <x v="3"/>
    <n v="2886.01"/>
    <n v="2920.44"/>
    <n v="-1.1789319417621957E-2"/>
  </r>
  <r>
    <s v="2025-03-10"/>
    <x v="3"/>
    <n v="2901"/>
    <n v="2920.44"/>
    <n v="-6.6565312076262151E-3"/>
  </r>
  <r>
    <s v="2025-03-07"/>
    <x v="3"/>
    <n v="2893.28"/>
    <n v="2920.44"/>
    <n v="-9.2999684978974928E-3"/>
  </r>
  <r>
    <s v="2025-05-29"/>
    <x v="4"/>
    <n v="1939.2"/>
    <n v="1939.2"/>
    <n v="0"/>
  </r>
  <r>
    <s v="2025-05-28"/>
    <x v="4"/>
    <n v="1964.8"/>
    <n v="1964.8"/>
    <n v="0"/>
  </r>
  <r>
    <s v="2025-05-27"/>
    <x v="4"/>
    <n v="1976.92"/>
    <n v="1976.92"/>
    <n v="0"/>
  </r>
  <r>
    <s v="2025-05-26"/>
    <x v="4"/>
    <n v="1964.21"/>
    <n v="1976.92"/>
    <n v="-6.4291928859033787E-3"/>
  </r>
  <r>
    <s v="2025-05-23"/>
    <x v="4"/>
    <n v="1951.14"/>
    <n v="1976.92"/>
    <n v="-1.3040487222548247E-2"/>
  </r>
  <r>
    <s v="2025-05-22"/>
    <x v="4"/>
    <n v="1957.63"/>
    <n v="1976.92"/>
    <n v="-9.7576027355684714E-3"/>
  </r>
  <r>
    <s v="2025-05-21"/>
    <x v="4"/>
    <n v="1934.04"/>
    <n v="1976.92"/>
    <n v="-2.169030613277223E-2"/>
  </r>
  <r>
    <s v="2025-05-20"/>
    <x v="4"/>
    <n v="1953.65"/>
    <n v="1976.92"/>
    <n v="-1.1770835440989003E-2"/>
  </r>
  <r>
    <s v="2025-05-19"/>
    <x v="4"/>
    <n v="1957.44"/>
    <n v="1976.92"/>
    <n v="-9.8537118345709551E-3"/>
  </r>
  <r>
    <s v="2025-05-16"/>
    <x v="4"/>
    <n v="1962.99"/>
    <n v="1976.92"/>
    <n v="-7.0463144689719703E-3"/>
  </r>
  <r>
    <s v="2025-05-15"/>
    <x v="4"/>
    <n v="1953"/>
    <n v="1976.92"/>
    <n v="-1.2099629727050143E-2"/>
  </r>
  <r>
    <s v="2025-05-14"/>
    <x v="4"/>
    <n v="1950.97"/>
    <n v="1976.92"/>
    <n v="-1.3126479574287253E-2"/>
  </r>
  <r>
    <s v="2025-05-13"/>
    <x v="4"/>
    <n v="1945.52"/>
    <n v="1976.92"/>
    <n v="-1.5883293203569182E-2"/>
  </r>
  <r>
    <s v="2025-05-12"/>
    <x v="4"/>
    <n v="1953.34"/>
    <n v="1976.92"/>
    <n v="-1.1927645023572131E-2"/>
  </r>
  <r>
    <s v="2025-05-09"/>
    <x v="4"/>
    <n v="1968.38"/>
    <n v="1976.92"/>
    <n v="-4.3198510814802527E-3"/>
  </r>
  <r>
    <s v="2025-05-08"/>
    <x v="4"/>
    <n v="1952.84"/>
    <n v="1976.92"/>
    <n v="-1.2180563705157632E-2"/>
  </r>
  <r>
    <s v="2025-05-07"/>
    <x v="4"/>
    <n v="1937.92"/>
    <n v="1976.92"/>
    <n v="-1.9727657163668755E-2"/>
  </r>
  <r>
    <s v="2025-05-06"/>
    <x v="4"/>
    <n v="1949.47"/>
    <n v="1976.92"/>
    <n v="-1.3885235619043756E-2"/>
  </r>
  <r>
    <s v="2025-05-05"/>
    <x v="4"/>
    <n v="1966.76"/>
    <n v="1976.92"/>
    <n v="-5.1393076098172896E-3"/>
  </r>
  <r>
    <s v="2025-05-02"/>
    <x v="4"/>
    <n v="1950.72"/>
    <n v="1976.92"/>
    <n v="-1.3252938915080059E-2"/>
  </r>
  <r>
    <s v="2025-05-01"/>
    <x v="4"/>
    <n v="1952.78"/>
    <n v="1976.92"/>
    <n v="-1.2210913946947843E-2"/>
  </r>
  <r>
    <s v="2025-04-30"/>
    <x v="4"/>
    <n v="1970.26"/>
    <n v="1976.92"/>
    <n v="-3.3688768387188928E-3"/>
  </r>
  <r>
    <s v="2025-04-29"/>
    <x v="4"/>
    <n v="1960.57"/>
    <n v="1976.92"/>
    <n v="-8.2704408878457869E-3"/>
  </r>
  <r>
    <s v="2025-04-28"/>
    <x v="4"/>
    <n v="1950.08"/>
    <n v="1976.92"/>
    <n v="-1.3576674827509572E-2"/>
  </r>
  <r>
    <s v="2025-04-25"/>
    <x v="4"/>
    <n v="1956.89"/>
    <n v="1976.92"/>
    <n v="-1.0131922384314929E-2"/>
  </r>
  <r>
    <s v="2025-04-24"/>
    <x v="4"/>
    <n v="1944.26"/>
    <n v="1976.92"/>
    <n v="-1.6520648281164729E-2"/>
  </r>
  <r>
    <s v="2025-04-23"/>
    <x v="4"/>
    <n v="1954.02"/>
    <n v="1976.92"/>
    <n v="-1.1583675616615774E-2"/>
  </r>
  <r>
    <s v="2025-04-22"/>
    <x v="4"/>
    <n v="1940.94"/>
    <n v="1976.92"/>
    <n v="-1.8200028326892381E-2"/>
  </r>
  <r>
    <s v="2025-04-21"/>
    <x v="4"/>
    <n v="1962.22"/>
    <n v="1976.92"/>
    <n v="-7.4358092386136443E-3"/>
  </r>
  <r>
    <s v="2025-04-18"/>
    <x v="4"/>
    <n v="1952.78"/>
    <n v="1976.92"/>
    <n v="-1.2210913946947843E-2"/>
  </r>
  <r>
    <s v="2025-04-17"/>
    <x v="4"/>
    <n v="1966.31"/>
    <n v="1976.92"/>
    <n v="-5.3669344232443184E-3"/>
  </r>
  <r>
    <s v="2025-04-16"/>
    <x v="4"/>
    <n v="1934.74"/>
    <n v="1976.92"/>
    <n v="-2.1336219978552506E-2"/>
  </r>
  <r>
    <s v="2025-04-15"/>
    <x v="4"/>
    <n v="1986.59"/>
    <n v="1986.59"/>
    <n v="0"/>
  </r>
  <r>
    <s v="2025-04-14"/>
    <x v="4"/>
    <n v="1946.57"/>
    <n v="1986.59"/>
    <n v="-2.0145072712537515E-2"/>
  </r>
  <r>
    <s v="2025-04-11"/>
    <x v="4"/>
    <n v="1950.54"/>
    <n v="1986.59"/>
    <n v="-1.8146673445451733E-2"/>
  </r>
  <r>
    <s v="2025-04-10"/>
    <x v="4"/>
    <n v="1966.09"/>
    <n v="1986.59"/>
    <n v="-1.031919017009042E-2"/>
  </r>
  <r>
    <s v="2025-04-09"/>
    <x v="4"/>
    <n v="1953.75"/>
    <n v="1986.59"/>
    <n v="-1.6530839277354659E-2"/>
  </r>
  <r>
    <s v="2025-04-08"/>
    <x v="4"/>
    <n v="1959.02"/>
    <n v="1986.59"/>
    <n v="-1.3878052340945968E-2"/>
  </r>
  <r>
    <s v="2025-04-07"/>
    <x v="4"/>
    <n v="1945.3"/>
    <n v="1986.59"/>
    <n v="-2.0784359127952956E-2"/>
  </r>
  <r>
    <s v="2025-04-04"/>
    <x v="4"/>
    <n v="1972.61"/>
    <n v="1986.59"/>
    <n v="-7.0371843208714147E-3"/>
  </r>
  <r>
    <s v="2025-04-03"/>
    <x v="4"/>
    <n v="1966.05"/>
    <n v="1986.59"/>
    <n v="-1.033932517530034E-2"/>
  </r>
  <r>
    <s v="2025-04-02"/>
    <x v="4"/>
    <n v="1953.48"/>
    <n v="1986.59"/>
    <n v="-1.6666750562521648E-2"/>
  </r>
  <r>
    <s v="2025-04-01"/>
    <x v="4"/>
    <n v="1953.62"/>
    <n v="1986.59"/>
    <n v="-1.6596278044286983E-2"/>
  </r>
  <r>
    <s v="2025-03-31"/>
    <x v="4"/>
    <n v="1957.95"/>
    <n v="1986.59"/>
    <n v="-1.4416663730311696E-2"/>
  </r>
  <r>
    <s v="2025-03-28"/>
    <x v="4"/>
    <n v="1950.92"/>
    <n v="1986.59"/>
    <n v="-1.7955390895957324E-2"/>
  </r>
  <r>
    <s v="2025-03-27"/>
    <x v="4"/>
    <n v="1956.98"/>
    <n v="1986.59"/>
    <n v="-1.4904937606652569E-2"/>
  </r>
  <r>
    <s v="2025-03-26"/>
    <x v="4"/>
    <n v="1934.74"/>
    <n v="1986.59"/>
    <n v="-2.6100000503375131E-2"/>
  </r>
  <r>
    <s v="2025-03-25"/>
    <x v="4"/>
    <n v="1959.9"/>
    <n v="1986.59"/>
    <n v="-1.3435082226327388E-2"/>
  </r>
  <r>
    <s v="2025-03-24"/>
    <x v="4"/>
    <n v="1952.34"/>
    <n v="1986.59"/>
    <n v="-1.7240598211004765E-2"/>
  </r>
  <r>
    <s v="2025-03-21"/>
    <x v="4"/>
    <n v="1964.04"/>
    <n v="1986.59"/>
    <n v="-1.1351109187099473E-2"/>
  </r>
  <r>
    <s v="2025-03-20"/>
    <x v="4"/>
    <n v="1959.01"/>
    <n v="1986.59"/>
    <n v="-1.3883086092248531E-2"/>
  </r>
  <r>
    <s v="2025-03-19"/>
    <x v="4"/>
    <n v="1922.94"/>
    <n v="1986.59"/>
    <n v="-3.2039827040305169E-2"/>
  </r>
  <r>
    <s v="2025-03-18"/>
    <x v="4"/>
    <n v="1953.19"/>
    <n v="1986.59"/>
    <n v="-1.6812729350293654E-2"/>
  </r>
  <r>
    <s v="2025-03-17"/>
    <x v="4"/>
    <n v="1951.23"/>
    <n v="1986.59"/>
    <n v="-1.7799344605580414E-2"/>
  </r>
  <r>
    <s v="2025-03-14"/>
    <x v="4"/>
    <n v="1947.95"/>
    <n v="1986.59"/>
    <n v="-1.9450415032794877E-2"/>
  </r>
  <r>
    <s v="2025-03-13"/>
    <x v="4"/>
    <n v="1941.33"/>
    <n v="1986.59"/>
    <n v="-2.2782758395038738E-2"/>
  </r>
  <r>
    <s v="2025-03-12"/>
    <x v="4"/>
    <n v="1980.86"/>
    <n v="1986.59"/>
    <n v="-2.8843394963228297E-3"/>
  </r>
  <r>
    <s v="2025-03-11"/>
    <x v="4"/>
    <n v="1950.27"/>
    <n v="1986.59"/>
    <n v="-1.8282584730618723E-2"/>
  </r>
  <r>
    <s v="2025-03-10"/>
    <x v="4"/>
    <n v="1940.92"/>
    <n v="1986.59"/>
    <n v="-2.2989142198440504E-2"/>
  </r>
  <r>
    <s v="2025-03-07"/>
    <x v="4"/>
    <n v="1946.31"/>
    <n v="1986.59"/>
    <n v="-2.027595024640216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37140-9D36-494D-A055-F0B90EA897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25" firstHeaderRow="2" firstDataRow="2" firstDataCol="2"/>
  <pivotFields count="14">
    <pivotField compact="0" outline="0" showAll="0"/>
    <pivotField axis="axisRow" compact="0" outline="0" showAll="0">
      <items count="6">
        <item x="3"/>
        <item x="1"/>
        <item x="4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2">
    <field x="1"/>
    <field x="13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Items count="1">
    <i/>
  </colItems>
  <dataFields count="1">
    <dataField name="Sum of Daily return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AE7B-9A1B-4755-B30D-EFFF2DD1B8F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0" firstHeaderRow="2" firstDataRow="2" firstDataCol="1"/>
  <pivotFields count="5"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1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ropdow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1378A5-8AF5-4DE9-A1F7-555DAFBB492C}" name="Table3" displayName="Table3" ref="A1:O301" totalsRowShown="0" headerRowDxfId="24" headerRowBorderDxfId="23" tableBorderDxfId="22" totalsRowBorderDxfId="21">
  <autoFilter ref="A1:O301" xr:uid="{301378A5-8AF5-4DE9-A1F7-555DAFBB492C}"/>
  <sortState xmlns:xlrd2="http://schemas.microsoft.com/office/spreadsheetml/2017/richdata2" ref="A2:N301">
    <sortCondition ref="B2:B301"/>
    <sortCondition descending="1" ref="A2:A301"/>
  </sortState>
  <tableColumns count="15">
    <tableColumn id="1" xr3:uid="{EBAC8F1D-1858-4A38-8A1A-C155AB1E2C0F}" name="Date" dataDxfId="20"/>
    <tableColumn id="2" xr3:uid="{B6964804-52BA-4B5F-A51B-E35400848242}" name="Company" dataDxfId="19"/>
    <tableColumn id="3" xr3:uid="{B2DB36AB-389E-4842-BBB5-DF5F29D8DD87}" name="Open" dataDxfId="18"/>
    <tableColumn id="4" xr3:uid="{8507D259-70C5-4A5C-9B67-8C239B822678}" name="High" dataDxfId="17"/>
    <tableColumn id="5" xr3:uid="{589B4FD1-F910-4A21-9255-0B83D7DB94FE}" name="Low" dataDxfId="16"/>
    <tableColumn id="6" xr3:uid="{DF94C07B-95AD-4120-94FF-02737B03CCC3}" name="Close" dataDxfId="15"/>
    <tableColumn id="7" xr3:uid="{FC8A39FE-A4CF-4C61-97DC-C4BD43F71007}" name="Adj Close" dataDxfId="14"/>
    <tableColumn id="8" xr3:uid="{38EFE5C5-E2CB-4721-8BF0-1403955CECD4}" name="Volume" dataDxfId="13"/>
    <tableColumn id="9" xr3:uid="{C4166084-61BD-4B3F-995C-B99D7765712A}" name="Daily return" dataDxfId="12">
      <calculatedColumnFormula>(F2-C2)/C2</calculatedColumnFormula>
    </tableColumn>
    <tableColumn id="10" xr3:uid="{AE18585E-20CF-4705-9F65-3E939FD6E21C}" name="Moving avg 7 days" dataDxfId="11">
      <calculatedColumnFormula>AVERAGE(G2:G9)</calculatedColumnFormula>
    </tableColumn>
    <tableColumn id="11" xr3:uid="{FBDBEC3E-CEE8-4924-90DE-82983EED47B4}" name="Moving avg 14 dsys" dataDxfId="10">
      <calculatedColumnFormula>AVERAGE(G2:G16)</calculatedColumnFormula>
    </tableColumn>
    <tableColumn id="12" xr3:uid="{B3E428E4-6944-449D-B13C-AB7D26F9CDE1}" name="Moving avg 30 days" dataDxfId="9">
      <calculatedColumnFormula>AVERAGE(G2:G32)</calculatedColumnFormula>
    </tableColumn>
    <tableColumn id="13" xr3:uid="{C25C8C13-52C1-4583-BACF-833AFC022D13}" name="Volatility" dataDxfId="8">
      <calculatedColumnFormula>(D2-E2)/C2</calculatedColumnFormula>
    </tableColumn>
    <tableColumn id="15" xr3:uid="{C1C3C5C4-3464-4F22-9063-B2036CB62E17}" name="month" dataDxfId="7">
      <calculatedColumnFormula>TEXT(Table3[[#This Row],[Date]],"YYYY-MM")</calculatedColumnFormula>
    </tableColumn>
    <tableColumn id="19" xr3:uid="{6024FB3E-4367-4668-92D9-20A179342D80}" name="cumlative volume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2E0226-073A-4EE1-A637-E1A8A45A2091}" name="Table5" displayName="Table5" ref="A1:E301" totalsRowShown="0" tableBorderDxfId="5">
  <autoFilter ref="A1:E301" xr:uid="{F32E0226-073A-4EE1-A637-E1A8A45A2091}"/>
  <sortState xmlns:xlrd2="http://schemas.microsoft.com/office/spreadsheetml/2017/richdata2" ref="A2:E301">
    <sortCondition ref="B1:B301"/>
  </sortState>
  <tableColumns count="5">
    <tableColumn id="1" xr3:uid="{E5DA4D90-ADF8-4A2B-B53D-DEAE7D30EC73}" name="Date" dataDxfId="4"/>
    <tableColumn id="2" xr3:uid="{048D091C-651D-4A06-A250-6D8C2CF8B719}" name="Company" dataDxfId="3"/>
    <tableColumn id="3" xr3:uid="{490FF23F-7379-4ECE-B5B8-70FD5E13B7E0}" name="Close" dataDxfId="2"/>
    <tableColumn id="4" xr3:uid="{7A139F24-8F7E-4DD3-AF18-269BC268E21B}" name="runnig max" dataDxfId="1">
      <calculatedColumnFormula>IF(B2=B1, MAX(D1, C2), C2)</calculatedColumnFormula>
    </tableColumn>
    <tableColumn id="5" xr3:uid="{0975B1FA-256C-45EA-9604-5178B60CDE5B}" name="Dropdown" dataDxfId="0">
      <calculatedColumnFormula>Table5[[#This Row],[Close]]/Table5[[#This Row],[runnig max]]-1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1AB8-EB21-45D3-AAAC-7D003537DAFB}">
  <dimension ref="A3:C25"/>
  <sheetViews>
    <sheetView zoomScale="77" zoomScaleNormal="77" workbookViewId="0">
      <selection activeCell="J11" sqref="J11"/>
    </sheetView>
  </sheetViews>
  <sheetFormatPr defaultRowHeight="14.5" x14ac:dyDescent="0.35"/>
  <cols>
    <col min="1" max="1" width="17.1796875" bestFit="1" customWidth="1"/>
    <col min="2" max="2" width="8.7265625" bestFit="1" customWidth="1"/>
    <col min="3" max="3" width="12.453125" bestFit="1" customWidth="1"/>
  </cols>
  <sheetData>
    <row r="3" spans="1:3" x14ac:dyDescent="0.35">
      <c r="A3" s="13" t="s">
        <v>85</v>
      </c>
    </row>
    <row r="4" spans="1:3" x14ac:dyDescent="0.35">
      <c r="A4" s="13" t="s">
        <v>1</v>
      </c>
      <c r="B4" s="13" t="s">
        <v>78</v>
      </c>
      <c r="C4" t="s">
        <v>86</v>
      </c>
    </row>
    <row r="5" spans="1:3" x14ac:dyDescent="0.35">
      <c r="A5" t="s">
        <v>71</v>
      </c>
      <c r="B5" t="s">
        <v>87</v>
      </c>
      <c r="C5" s="14">
        <v>1.9964624253375921E-2</v>
      </c>
    </row>
    <row r="6" spans="1:3" x14ac:dyDescent="0.35">
      <c r="B6" t="s">
        <v>88</v>
      </c>
      <c r="C6" s="14">
        <v>-1.39308184971636E-2</v>
      </c>
    </row>
    <row r="7" spans="1:3" x14ac:dyDescent="0.35">
      <c r="B7" t="s">
        <v>89</v>
      </c>
      <c r="C7" s="14">
        <v>3.7058602018108205E-2</v>
      </c>
    </row>
    <row r="8" spans="1:3" x14ac:dyDescent="0.35">
      <c r="A8" t="s">
        <v>80</v>
      </c>
      <c r="C8" s="14">
        <v>4.3092407774320524E-2</v>
      </c>
    </row>
    <row r="9" spans="1:3" x14ac:dyDescent="0.35">
      <c r="A9" t="s">
        <v>69</v>
      </c>
      <c r="B9" t="s">
        <v>87</v>
      </c>
      <c r="C9" s="14">
        <v>7.166439515484584E-3</v>
      </c>
    </row>
    <row r="10" spans="1:3" x14ac:dyDescent="0.35">
      <c r="B10" t="s">
        <v>88</v>
      </c>
      <c r="C10" s="14">
        <v>2.4669046749688117E-2</v>
      </c>
    </row>
    <row r="11" spans="1:3" x14ac:dyDescent="0.35">
      <c r="B11" t="s">
        <v>89</v>
      </c>
      <c r="C11" s="14">
        <v>-1.1029658859889468E-2</v>
      </c>
    </row>
    <row r="12" spans="1:3" x14ac:dyDescent="0.35">
      <c r="A12" t="s">
        <v>81</v>
      </c>
      <c r="C12" s="14">
        <v>2.080582740528323E-2</v>
      </c>
    </row>
    <row r="13" spans="1:3" x14ac:dyDescent="0.35">
      <c r="A13" t="s">
        <v>72</v>
      </c>
      <c r="B13" t="s">
        <v>87</v>
      </c>
      <c r="C13" s="14">
        <v>6.2833175122241226E-3</v>
      </c>
    </row>
    <row r="14" spans="1:3" x14ac:dyDescent="0.35">
      <c r="B14" t="s">
        <v>88</v>
      </c>
      <c r="C14" s="14">
        <v>2.3313505684298325E-2</v>
      </c>
    </row>
    <row r="15" spans="1:3" x14ac:dyDescent="0.35">
      <c r="B15" t="s">
        <v>89</v>
      </c>
      <c r="C15" s="14">
        <v>6.8667207489496252E-3</v>
      </c>
    </row>
    <row r="16" spans="1:3" x14ac:dyDescent="0.35">
      <c r="A16" t="s">
        <v>82</v>
      </c>
      <c r="C16" s="14">
        <v>3.646354394547207E-2</v>
      </c>
    </row>
    <row r="17" spans="1:3" x14ac:dyDescent="0.35">
      <c r="A17" t="s">
        <v>68</v>
      </c>
      <c r="B17" t="s">
        <v>87</v>
      </c>
      <c r="C17" s="14">
        <v>2.7711481176953883E-3</v>
      </c>
    </row>
    <row r="18" spans="1:3" x14ac:dyDescent="0.35">
      <c r="B18" t="s">
        <v>88</v>
      </c>
      <c r="C18" s="14">
        <v>3.4446599298586485E-3</v>
      </c>
    </row>
    <row r="19" spans="1:3" x14ac:dyDescent="0.35">
      <c r="B19" t="s">
        <v>89</v>
      </c>
      <c r="C19" s="14">
        <v>1.66378251078498E-2</v>
      </c>
    </row>
    <row r="20" spans="1:3" x14ac:dyDescent="0.35">
      <c r="A20" t="s">
        <v>83</v>
      </c>
      <c r="C20" s="14">
        <v>2.2853633155403837E-2</v>
      </c>
    </row>
    <row r="21" spans="1:3" x14ac:dyDescent="0.35">
      <c r="A21" t="s">
        <v>70</v>
      </c>
      <c r="B21" t="s">
        <v>87</v>
      </c>
      <c r="C21" s="14">
        <v>-7.1754932322409823E-3</v>
      </c>
    </row>
    <row r="22" spans="1:3" x14ac:dyDescent="0.35">
      <c r="B22" t="s">
        <v>88</v>
      </c>
      <c r="C22" s="14">
        <v>-1.4001573192849828E-2</v>
      </c>
    </row>
    <row r="23" spans="1:3" x14ac:dyDescent="0.35">
      <c r="B23" t="s">
        <v>89</v>
      </c>
      <c r="C23" s="14">
        <v>-1.753606088537189E-2</v>
      </c>
    </row>
    <row r="24" spans="1:3" x14ac:dyDescent="0.35">
      <c r="A24" t="s">
        <v>84</v>
      </c>
      <c r="C24" s="14">
        <v>-3.8713127310462697E-2</v>
      </c>
    </row>
    <row r="25" spans="1:3" x14ac:dyDescent="0.35">
      <c r="A25" t="s">
        <v>79</v>
      </c>
      <c r="C25" s="14">
        <v>8.4502284970016966E-2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K1" zoomScale="81" zoomScaleNormal="81" workbookViewId="0">
      <pane ySplit="1" topLeftCell="A14" activePane="bottomLeft" state="frozen"/>
      <selection activeCell="F1" sqref="F1"/>
      <selection pane="bottomLeft" activeCell="W1" sqref="W1"/>
    </sheetView>
  </sheetViews>
  <sheetFormatPr defaultRowHeight="14.5" x14ac:dyDescent="0.35"/>
  <cols>
    <col min="1" max="1" width="13.1796875" style="1" customWidth="1"/>
    <col min="2" max="2" width="15.6328125" customWidth="1"/>
    <col min="3" max="3" width="15.54296875" customWidth="1"/>
    <col min="4" max="4" width="17.54296875" customWidth="1"/>
    <col min="5" max="5" width="14.7265625" customWidth="1"/>
    <col min="6" max="6" width="16.36328125" customWidth="1"/>
    <col min="7" max="7" width="18" customWidth="1"/>
    <col min="8" max="8" width="15.7265625" customWidth="1"/>
    <col min="9" max="9" width="12.7265625" customWidth="1"/>
    <col min="10" max="10" width="20.6328125" bestFit="1" customWidth="1"/>
    <col min="11" max="11" width="22.26953125" bestFit="1" customWidth="1"/>
    <col min="12" max="12" width="22.90625" bestFit="1" customWidth="1"/>
    <col min="13" max="13" width="13.81640625" bestFit="1" customWidth="1"/>
    <col min="14" max="14" width="11" bestFit="1" customWidth="1"/>
    <col min="15" max="15" width="21" bestFit="1" customWidth="1"/>
    <col min="16" max="16" width="14.54296875" bestFit="1" customWidth="1"/>
  </cols>
  <sheetData>
    <row r="1" spans="1:1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73</v>
      </c>
      <c r="J1" s="8" t="s">
        <v>75</v>
      </c>
      <c r="K1" s="8" t="s">
        <v>76</v>
      </c>
      <c r="L1" s="8" t="s">
        <v>77</v>
      </c>
      <c r="M1" s="9" t="s">
        <v>74</v>
      </c>
      <c r="N1" s="8" t="s">
        <v>78</v>
      </c>
      <c r="O1" s="8" t="s">
        <v>93</v>
      </c>
    </row>
    <row r="2" spans="1:15" x14ac:dyDescent="0.35">
      <c r="A2" s="3" t="s">
        <v>67</v>
      </c>
      <c r="B2" s="2" t="s">
        <v>71</v>
      </c>
      <c r="C2" s="2">
        <v>693.91</v>
      </c>
      <c r="D2" s="2">
        <v>709.82</v>
      </c>
      <c r="E2" s="2">
        <v>677.77</v>
      </c>
      <c r="F2" s="2">
        <v>693.24</v>
      </c>
      <c r="G2" s="2">
        <v>692.94</v>
      </c>
      <c r="H2" s="2">
        <v>135965</v>
      </c>
      <c r="I2" s="2">
        <f t="shared" ref="I2:I65" si="0">(F2-C2)/C2</f>
        <v>-9.6554308195581434E-4</v>
      </c>
      <c r="J2" s="2">
        <f t="shared" ref="J2:J65" si="1">AVERAGE(G2:G9)</f>
        <v>686.93875000000003</v>
      </c>
      <c r="K2" s="2">
        <f t="shared" ref="K2:K65" si="2">AVERAGE(G2:G16)</f>
        <v>681.26733333333334</v>
      </c>
      <c r="L2" s="2">
        <f t="shared" ref="L2:L65" si="3">AVERAGE(G2:G32)</f>
        <v>682.48354838709668</v>
      </c>
      <c r="M2" s="4">
        <f t="shared" ref="M2:M65" si="4">(D2-E2)/C2</f>
        <v>4.6187545935351945E-2</v>
      </c>
      <c r="N2" s="15" t="str">
        <f>TEXT(Table3[[#This Row],[Date]],"YYYY-MM")</f>
        <v>2025-05</v>
      </c>
      <c r="O2" s="2">
        <v>135965</v>
      </c>
    </row>
    <row r="3" spans="1:15" x14ac:dyDescent="0.35">
      <c r="A3" s="3" t="s">
        <v>66</v>
      </c>
      <c r="B3" s="2" t="s">
        <v>71</v>
      </c>
      <c r="C3" s="2">
        <v>683.38</v>
      </c>
      <c r="D3" s="2">
        <v>691.37</v>
      </c>
      <c r="E3" s="2">
        <v>668.18</v>
      </c>
      <c r="F3" s="2">
        <v>680.38</v>
      </c>
      <c r="G3" s="2">
        <v>678.67</v>
      </c>
      <c r="H3" s="2">
        <v>337614</v>
      </c>
      <c r="I3" s="2">
        <f t="shared" si="0"/>
        <v>-4.3899441013784428E-3</v>
      </c>
      <c r="J3" s="2">
        <f t="shared" si="1"/>
        <v>684.40750000000003</v>
      </c>
      <c r="K3" s="2">
        <f>AVERAGE(G3:G17)</f>
        <v>680.49266666666665</v>
      </c>
      <c r="L3" s="2">
        <f t="shared" si="3"/>
        <v>682.32580645161283</v>
      </c>
      <c r="M3" s="4">
        <f t="shared" si="4"/>
        <v>3.3934267903655439E-2</v>
      </c>
      <c r="N3" s="2" t="str">
        <f>TEXT(Table3[[#This Row],[Date]],"YYYY-MM")</f>
        <v>2025-05</v>
      </c>
      <c r="O3" s="2">
        <f>O2+Table3[[#This Row],[Volume]]</f>
        <v>473579</v>
      </c>
    </row>
    <row r="4" spans="1:15" x14ac:dyDescent="0.35">
      <c r="A4" s="3" t="s">
        <v>65</v>
      </c>
      <c r="B4" s="2" t="s">
        <v>71</v>
      </c>
      <c r="C4" s="2">
        <v>689.19</v>
      </c>
      <c r="D4" s="2">
        <v>701.66</v>
      </c>
      <c r="E4" s="2">
        <v>675.86</v>
      </c>
      <c r="F4" s="2">
        <v>694.41</v>
      </c>
      <c r="G4" s="2">
        <v>695.29</v>
      </c>
      <c r="H4" s="2">
        <v>373629</v>
      </c>
      <c r="I4" s="2">
        <f t="shared" si="0"/>
        <v>7.5741087363425368E-3</v>
      </c>
      <c r="J4" s="2">
        <f t="shared" si="1"/>
        <v>683.55624999999998</v>
      </c>
      <c r="K4" s="2">
        <f t="shared" si="2"/>
        <v>681.86</v>
      </c>
      <c r="L4" s="2">
        <f t="shared" si="3"/>
        <v>682.39354838709664</v>
      </c>
      <c r="M4" s="4">
        <f t="shared" si="4"/>
        <v>3.7435250076176312E-2</v>
      </c>
      <c r="N4" s="2" t="str">
        <f>TEXT(Table3[[#This Row],[Date]],"YYYY-MM")</f>
        <v>2025-05</v>
      </c>
      <c r="O4" s="2">
        <f>O3+Table3[[#This Row],[Volume]]</f>
        <v>847208</v>
      </c>
    </row>
    <row r="5" spans="1:15" x14ac:dyDescent="0.35">
      <c r="A5" s="3" t="s">
        <v>64</v>
      </c>
      <c r="B5" s="2" t="s">
        <v>71</v>
      </c>
      <c r="C5" s="2">
        <v>679.8</v>
      </c>
      <c r="D5" s="2">
        <v>699.44</v>
      </c>
      <c r="E5" s="2">
        <v>669.75</v>
      </c>
      <c r="F5" s="2">
        <v>686.72</v>
      </c>
      <c r="G5" s="2">
        <v>685.45</v>
      </c>
      <c r="H5" s="2">
        <v>256861</v>
      </c>
      <c r="I5" s="2">
        <f t="shared" si="0"/>
        <v>1.0179464548396695E-2</v>
      </c>
      <c r="J5" s="2">
        <f t="shared" si="1"/>
        <v>681.03499999999997</v>
      </c>
      <c r="K5" s="2">
        <f t="shared" si="2"/>
        <v>682.07400000000007</v>
      </c>
      <c r="L5" s="2">
        <f t="shared" si="3"/>
        <v>682.42096774193544</v>
      </c>
      <c r="M5" s="4">
        <f t="shared" si="4"/>
        <v>4.3674610179464633E-2</v>
      </c>
      <c r="N5" s="2" t="str">
        <f>TEXT(Table3[[#This Row],[Date]],"YYYY-MM")</f>
        <v>2025-05</v>
      </c>
      <c r="O5" s="2">
        <f>O4+Table3[[#This Row],[Volume]]</f>
        <v>1104069</v>
      </c>
    </row>
    <row r="6" spans="1:15" x14ac:dyDescent="0.35">
      <c r="A6" s="3" t="s">
        <v>63</v>
      </c>
      <c r="B6" s="2" t="s">
        <v>71</v>
      </c>
      <c r="C6" s="2">
        <v>679.3</v>
      </c>
      <c r="D6" s="2">
        <v>685.21</v>
      </c>
      <c r="E6" s="2">
        <v>670.59</v>
      </c>
      <c r="F6" s="2">
        <v>678.92</v>
      </c>
      <c r="G6" s="2">
        <v>677.56</v>
      </c>
      <c r="H6" s="2">
        <v>362083</v>
      </c>
      <c r="I6" s="2">
        <f t="shared" si="0"/>
        <v>-5.5939938171646619E-4</v>
      </c>
      <c r="J6" s="2">
        <f t="shared" si="1"/>
        <v>679.95</v>
      </c>
      <c r="K6" s="2">
        <f t="shared" si="2"/>
        <v>682.10866666666664</v>
      </c>
      <c r="L6" s="2">
        <f t="shared" si="3"/>
        <v>682.64548387096772</v>
      </c>
      <c r="M6" s="4">
        <f t="shared" si="4"/>
        <v>2.1522155159723253E-2</v>
      </c>
      <c r="N6" s="2" t="str">
        <f>TEXT(Table3[[#This Row],[Date]],"YYYY-MM")</f>
        <v>2025-05</v>
      </c>
      <c r="O6" s="2">
        <f>O5+Table3[[#This Row],[Volume]]</f>
        <v>1466152</v>
      </c>
    </row>
    <row r="7" spans="1:15" x14ac:dyDescent="0.35">
      <c r="A7" s="3" t="s">
        <v>62</v>
      </c>
      <c r="B7" s="2" t="s">
        <v>71</v>
      </c>
      <c r="C7" s="2">
        <v>696.17</v>
      </c>
      <c r="D7" s="2">
        <v>707.95</v>
      </c>
      <c r="E7" s="2">
        <v>681.52</v>
      </c>
      <c r="F7" s="2">
        <v>695.72</v>
      </c>
      <c r="G7" s="2">
        <v>695.83</v>
      </c>
      <c r="H7" s="2">
        <v>153850</v>
      </c>
      <c r="I7" s="2">
        <f t="shared" si="0"/>
        <v>-6.4639384058481669E-4</v>
      </c>
      <c r="J7" s="2">
        <f t="shared" si="1"/>
        <v>680.78250000000003</v>
      </c>
      <c r="K7" s="2">
        <f t="shared" si="2"/>
        <v>682.43799999999999</v>
      </c>
      <c r="L7" s="2">
        <f t="shared" si="3"/>
        <v>683.02999999999986</v>
      </c>
      <c r="M7" s="4">
        <f t="shared" si="4"/>
        <v>3.7964864903687411E-2</v>
      </c>
      <c r="N7" s="2" t="str">
        <f>TEXT(Table3[[#This Row],[Date]],"YYYY-MM")</f>
        <v>2025-05</v>
      </c>
      <c r="O7" s="2">
        <f>O6+Table3[[#This Row],[Volume]]</f>
        <v>1620002</v>
      </c>
    </row>
    <row r="8" spans="1:15" x14ac:dyDescent="0.35">
      <c r="A8" s="3" t="s">
        <v>61</v>
      </c>
      <c r="B8" s="2" t="s">
        <v>71</v>
      </c>
      <c r="C8" s="2">
        <v>677.21</v>
      </c>
      <c r="D8" s="2">
        <v>694.43</v>
      </c>
      <c r="E8" s="2">
        <v>671.01</v>
      </c>
      <c r="F8" s="2">
        <v>688.17</v>
      </c>
      <c r="G8" s="2">
        <v>689.75</v>
      </c>
      <c r="H8" s="2">
        <v>223603</v>
      </c>
      <c r="I8" s="2">
        <f t="shared" si="0"/>
        <v>1.6184049260938145E-2</v>
      </c>
      <c r="J8" s="2">
        <f t="shared" si="1"/>
        <v>677.48625000000004</v>
      </c>
      <c r="K8" s="2">
        <f t="shared" si="2"/>
        <v>681.99533333333341</v>
      </c>
      <c r="L8" s="2">
        <f t="shared" si="3"/>
        <v>682.98903225806464</v>
      </c>
      <c r="M8" s="4">
        <f t="shared" si="4"/>
        <v>3.4583068767442826E-2</v>
      </c>
      <c r="N8" s="2" t="str">
        <f>TEXT(Table3[[#This Row],[Date]],"YYYY-MM")</f>
        <v>2025-05</v>
      </c>
      <c r="O8" s="2">
        <f>O7+Table3[[#This Row],[Volume]]</f>
        <v>1843605</v>
      </c>
    </row>
    <row r="9" spans="1:15" x14ac:dyDescent="0.35">
      <c r="A9" s="3" t="s">
        <v>60</v>
      </c>
      <c r="B9" s="2" t="s">
        <v>71</v>
      </c>
      <c r="C9" s="2">
        <v>683.6</v>
      </c>
      <c r="D9" s="2">
        <v>699.24</v>
      </c>
      <c r="E9" s="2">
        <v>665.54</v>
      </c>
      <c r="F9" s="2">
        <v>679.16</v>
      </c>
      <c r="G9" s="2">
        <v>680.02</v>
      </c>
      <c r="H9" s="2">
        <v>477375</v>
      </c>
      <c r="I9" s="2">
        <f t="shared" si="0"/>
        <v>-6.4950263311879088E-3</v>
      </c>
      <c r="J9" s="2">
        <f t="shared" si="1"/>
        <v>675.44</v>
      </c>
      <c r="K9" s="2">
        <f t="shared" si="2"/>
        <v>681.80866666666691</v>
      </c>
      <c r="L9" s="2">
        <f t="shared" si="3"/>
        <v>682.72387096774196</v>
      </c>
      <c r="M9" s="4">
        <f t="shared" si="4"/>
        <v>4.9297834991223005E-2</v>
      </c>
      <c r="N9" s="2" t="str">
        <f>TEXT(Table3[[#This Row],[Date]],"YYYY-MM")</f>
        <v>2025-05</v>
      </c>
      <c r="O9" s="2">
        <f>O8+Table3[[#This Row],[Volume]]</f>
        <v>2320980</v>
      </c>
    </row>
    <row r="10" spans="1:15" x14ac:dyDescent="0.35">
      <c r="A10" s="3" t="s">
        <v>59</v>
      </c>
      <c r="B10" s="2" t="s">
        <v>71</v>
      </c>
      <c r="C10" s="2">
        <v>678.07</v>
      </c>
      <c r="D10" s="2">
        <v>684.64</v>
      </c>
      <c r="E10" s="2">
        <v>663.52</v>
      </c>
      <c r="F10" s="2">
        <v>671.86</v>
      </c>
      <c r="G10" s="2">
        <v>672.69</v>
      </c>
      <c r="H10" s="2">
        <v>455714</v>
      </c>
      <c r="I10" s="2">
        <f t="shared" si="0"/>
        <v>-9.1583464834014711E-3</v>
      </c>
      <c r="J10" s="2">
        <f t="shared" si="1"/>
        <v>675.60249999999996</v>
      </c>
      <c r="K10" s="2">
        <f t="shared" si="2"/>
        <v>682.7600000000001</v>
      </c>
      <c r="L10" s="2">
        <f t="shared" si="3"/>
        <v>681.9403225806451</v>
      </c>
      <c r="M10" s="4">
        <f t="shared" si="4"/>
        <v>3.1147226687510143E-2</v>
      </c>
      <c r="N10" s="2" t="str">
        <f>TEXT(Table3[[#This Row],[Date]],"YYYY-MM")</f>
        <v>2025-05</v>
      </c>
      <c r="O10" s="2">
        <f>O9+Table3[[#This Row],[Volume]]</f>
        <v>2776694</v>
      </c>
    </row>
    <row r="11" spans="1:15" x14ac:dyDescent="0.35">
      <c r="A11" s="3" t="s">
        <v>58</v>
      </c>
      <c r="B11" s="2" t="s">
        <v>71</v>
      </c>
      <c r="C11" s="2">
        <v>672.98</v>
      </c>
      <c r="D11" s="2">
        <v>686.49</v>
      </c>
      <c r="E11" s="2">
        <v>657.64</v>
      </c>
      <c r="F11" s="2">
        <v>670.66</v>
      </c>
      <c r="G11" s="2">
        <v>671.86</v>
      </c>
      <c r="H11" s="2">
        <v>430578</v>
      </c>
      <c r="I11" s="2">
        <f t="shared" si="0"/>
        <v>-3.447353561770112E-3</v>
      </c>
      <c r="J11" s="2">
        <f t="shared" si="1"/>
        <v>678.91375000000005</v>
      </c>
      <c r="K11" s="2">
        <f t="shared" si="2"/>
        <v>681.48466666666684</v>
      </c>
      <c r="L11" s="2">
        <f t="shared" si="3"/>
        <v>682.39129032258063</v>
      </c>
      <c r="M11" s="4">
        <f t="shared" si="4"/>
        <v>4.2869030283217958E-2</v>
      </c>
      <c r="N11" s="2" t="str">
        <f>TEXT(Table3[[#This Row],[Date]],"YYYY-MM")</f>
        <v>2025-05</v>
      </c>
      <c r="O11" s="2">
        <f>O10+Table3[[#This Row],[Volume]]</f>
        <v>3207272</v>
      </c>
    </row>
    <row r="12" spans="1:15" x14ac:dyDescent="0.35">
      <c r="A12" s="3" t="s">
        <v>57</v>
      </c>
      <c r="B12" s="2" t="s">
        <v>71</v>
      </c>
      <c r="C12" s="2">
        <v>674.24</v>
      </c>
      <c r="D12" s="2">
        <v>684.5</v>
      </c>
      <c r="E12" s="2">
        <v>668.74</v>
      </c>
      <c r="F12" s="2">
        <v>676.81</v>
      </c>
      <c r="G12" s="2">
        <v>675.12</v>
      </c>
      <c r="H12" s="2">
        <v>291345</v>
      </c>
      <c r="I12" s="2">
        <f t="shared" si="0"/>
        <v>3.8116990982438544E-3</v>
      </c>
      <c r="J12" s="2">
        <f t="shared" si="1"/>
        <v>682.24374999999998</v>
      </c>
      <c r="K12" s="2">
        <f t="shared" si="2"/>
        <v>681.49066666666681</v>
      </c>
      <c r="L12" s="2">
        <f t="shared" si="3"/>
        <v>682.60645161290324</v>
      </c>
      <c r="M12" s="4">
        <f t="shared" si="4"/>
        <v>2.3374466065495952E-2</v>
      </c>
      <c r="N12" s="2" t="str">
        <f>TEXT(Table3[[#This Row],[Date]],"YYYY-MM")</f>
        <v>2025-05</v>
      </c>
      <c r="O12" s="2">
        <f>O11+Table3[[#This Row],[Volume]]</f>
        <v>3498617</v>
      </c>
    </row>
    <row r="13" spans="1:15" x14ac:dyDescent="0.35">
      <c r="A13" s="3" t="s">
        <v>56</v>
      </c>
      <c r="B13" s="2" t="s">
        <v>71</v>
      </c>
      <c r="C13" s="2">
        <v>682.96</v>
      </c>
      <c r="D13" s="2">
        <v>697.23</v>
      </c>
      <c r="E13" s="2">
        <v>667.42</v>
      </c>
      <c r="F13" s="2">
        <v>676.53</v>
      </c>
      <c r="G13" s="2">
        <v>676.77</v>
      </c>
      <c r="H13" s="2">
        <v>125875</v>
      </c>
      <c r="I13" s="2">
        <f t="shared" si="0"/>
        <v>-9.4148998477217756E-3</v>
      </c>
      <c r="J13" s="2">
        <f t="shared" si="1"/>
        <v>683.6</v>
      </c>
      <c r="K13" s="2">
        <f t="shared" si="2"/>
        <v>682.00866666666661</v>
      </c>
      <c r="L13" s="2">
        <f t="shared" si="3"/>
        <v>682.72096774193528</v>
      </c>
      <c r="M13" s="4">
        <f t="shared" si="4"/>
        <v>4.3648237085627352E-2</v>
      </c>
      <c r="N13" s="2" t="str">
        <f>TEXT(Table3[[#This Row],[Date]],"YYYY-MM")</f>
        <v>2025-05</v>
      </c>
      <c r="O13" s="2">
        <f>O12+Table3[[#This Row],[Volume]]</f>
        <v>3624492</v>
      </c>
    </row>
    <row r="14" spans="1:15" x14ac:dyDescent="0.35">
      <c r="A14" s="3" t="s">
        <v>55</v>
      </c>
      <c r="B14" s="2" t="s">
        <v>71</v>
      </c>
      <c r="C14" s="2">
        <v>686.72</v>
      </c>
      <c r="D14" s="2">
        <v>692.31</v>
      </c>
      <c r="E14" s="2">
        <v>674.51</v>
      </c>
      <c r="F14" s="2">
        <v>685.8</v>
      </c>
      <c r="G14" s="2">
        <v>684.22</v>
      </c>
      <c r="H14" s="2">
        <v>366941</v>
      </c>
      <c r="I14" s="2">
        <f t="shared" si="0"/>
        <v>-1.3397017707363595E-3</v>
      </c>
      <c r="J14" s="2">
        <f t="shared" si="1"/>
        <v>684.31624999999997</v>
      </c>
      <c r="K14" s="2">
        <f t="shared" si="2"/>
        <v>681.92599999999993</v>
      </c>
      <c r="L14" s="2">
        <f t="shared" si="3"/>
        <v>682.58290322580638</v>
      </c>
      <c r="M14" s="4">
        <f t="shared" si="4"/>
        <v>2.5920316868592662E-2</v>
      </c>
      <c r="N14" s="2" t="str">
        <f>TEXT(Table3[[#This Row],[Date]],"YYYY-MM")</f>
        <v>2025-05</v>
      </c>
      <c r="O14" s="2">
        <f>O13+Table3[[#This Row],[Volume]]</f>
        <v>3991433</v>
      </c>
    </row>
    <row r="15" spans="1:15" x14ac:dyDescent="0.35">
      <c r="A15" s="3" t="s">
        <v>54</v>
      </c>
      <c r="B15" s="2" t="s">
        <v>71</v>
      </c>
      <c r="C15" s="2">
        <v>678.48</v>
      </c>
      <c r="D15" s="2">
        <v>692.48</v>
      </c>
      <c r="E15" s="2">
        <v>669.11</v>
      </c>
      <c r="F15" s="2">
        <v>668.68</v>
      </c>
      <c r="G15" s="2">
        <v>669.46</v>
      </c>
      <c r="H15" s="2">
        <v>483450</v>
      </c>
      <c r="I15" s="2">
        <f t="shared" si="0"/>
        <v>-1.4444051409032054E-2</v>
      </c>
      <c r="J15" s="2">
        <f t="shared" si="1"/>
        <v>684.9375</v>
      </c>
      <c r="K15" s="2">
        <f t="shared" si="2"/>
        <v>681.29333333333329</v>
      </c>
      <c r="L15" s="2">
        <f t="shared" si="3"/>
        <v>682.29967741935468</v>
      </c>
      <c r="M15" s="4">
        <f t="shared" si="4"/>
        <v>3.4444640962150698E-2</v>
      </c>
      <c r="N15" s="2" t="str">
        <f>TEXT(Table3[[#This Row],[Date]],"YYYY-MM")</f>
        <v>2025-05</v>
      </c>
      <c r="O15" s="2">
        <f>O14+Table3[[#This Row],[Volume]]</f>
        <v>4474883</v>
      </c>
    </row>
    <row r="16" spans="1:15" x14ac:dyDescent="0.35">
      <c r="A16" s="3" t="s">
        <v>53</v>
      </c>
      <c r="B16" s="2" t="s">
        <v>71</v>
      </c>
      <c r="C16" s="2">
        <v>667.09</v>
      </c>
      <c r="D16" s="2">
        <v>684.05</v>
      </c>
      <c r="E16" s="2">
        <v>657.43</v>
      </c>
      <c r="F16" s="2">
        <v>673.56</v>
      </c>
      <c r="G16" s="2">
        <v>673.38</v>
      </c>
      <c r="H16" s="2">
        <v>313446</v>
      </c>
      <c r="I16" s="2">
        <f t="shared" si="0"/>
        <v>9.6988412358151276E-3</v>
      </c>
      <c r="J16" s="2">
        <f t="shared" si="1"/>
        <v>687.12375000000009</v>
      </c>
      <c r="K16" s="2">
        <f t="shared" si="2"/>
        <v>683.05266666666671</v>
      </c>
      <c r="L16" s="2">
        <f t="shared" si="3"/>
        <v>683.40096774193523</v>
      </c>
      <c r="M16" s="4">
        <f t="shared" si="4"/>
        <v>3.9904660540556754E-2</v>
      </c>
      <c r="N16" s="2" t="str">
        <f>TEXT(Table3[[#This Row],[Date]],"YYYY-MM")</f>
        <v>2025-05</v>
      </c>
      <c r="O16" s="2">
        <f>O15+Table3[[#This Row],[Volume]]</f>
        <v>4788329</v>
      </c>
    </row>
    <row r="17" spans="1:15" x14ac:dyDescent="0.35">
      <c r="A17" s="3" t="s">
        <v>52</v>
      </c>
      <c r="B17" s="2" t="s">
        <v>71</v>
      </c>
      <c r="C17" s="2">
        <v>676.24</v>
      </c>
      <c r="D17" s="2">
        <v>684.25</v>
      </c>
      <c r="E17" s="2">
        <v>663.87</v>
      </c>
      <c r="F17" s="2">
        <v>683.06</v>
      </c>
      <c r="G17" s="2">
        <v>681.32</v>
      </c>
      <c r="H17" s="2">
        <v>202055</v>
      </c>
      <c r="I17" s="2">
        <f t="shared" si="0"/>
        <v>1.0085176860286194E-2</v>
      </c>
      <c r="J17" s="2">
        <f t="shared" si="1"/>
        <v>689.73749999999995</v>
      </c>
      <c r="K17" s="2">
        <f t="shared" si="2"/>
        <v>683.79533333333336</v>
      </c>
      <c r="L17" s="2">
        <f t="shared" si="3"/>
        <v>683.65161290322555</v>
      </c>
      <c r="M17" s="4">
        <f t="shared" si="4"/>
        <v>3.0137229386016793E-2</v>
      </c>
      <c r="N17" s="2" t="str">
        <f>TEXT(Table3[[#This Row],[Date]],"YYYY-MM")</f>
        <v>2025-05</v>
      </c>
      <c r="O17" s="2">
        <f>O16+Table3[[#This Row],[Volume]]</f>
        <v>4990384</v>
      </c>
    </row>
    <row r="18" spans="1:15" x14ac:dyDescent="0.35">
      <c r="A18" s="3" t="s">
        <v>51</v>
      </c>
      <c r="B18" s="2" t="s">
        <v>71</v>
      </c>
      <c r="C18" s="2">
        <v>695.49</v>
      </c>
      <c r="D18" s="2">
        <v>707.71</v>
      </c>
      <c r="E18" s="2">
        <v>688.73</v>
      </c>
      <c r="F18" s="2">
        <v>700.68</v>
      </c>
      <c r="G18" s="2">
        <v>699.18</v>
      </c>
      <c r="H18" s="2">
        <v>253632</v>
      </c>
      <c r="I18" s="2">
        <f t="shared" si="0"/>
        <v>7.4623646637621546E-3</v>
      </c>
      <c r="J18" s="2">
        <f t="shared" si="1"/>
        <v>686.26749999999993</v>
      </c>
      <c r="K18" s="2">
        <f t="shared" si="2"/>
        <v>683.77733333333333</v>
      </c>
      <c r="L18" s="2">
        <f t="shared" si="3"/>
        <v>683.49903225806429</v>
      </c>
      <c r="M18" s="4">
        <f t="shared" si="4"/>
        <v>2.7290112007361741E-2</v>
      </c>
      <c r="N18" s="2" t="str">
        <f>TEXT(Table3[[#This Row],[Date]],"YYYY-MM")</f>
        <v>2025-05</v>
      </c>
      <c r="O18" s="2">
        <f>O17+Table3[[#This Row],[Volume]]</f>
        <v>5244016</v>
      </c>
    </row>
    <row r="19" spans="1:15" x14ac:dyDescent="0.35">
      <c r="A19" s="3" t="s">
        <v>50</v>
      </c>
      <c r="B19" s="2" t="s">
        <v>71</v>
      </c>
      <c r="C19" s="2">
        <v>689.43</v>
      </c>
      <c r="D19" s="2">
        <v>696.4</v>
      </c>
      <c r="E19" s="2">
        <v>683.94</v>
      </c>
      <c r="F19" s="2">
        <v>696.82</v>
      </c>
      <c r="G19" s="2">
        <v>698.5</v>
      </c>
      <c r="H19" s="2">
        <v>392160</v>
      </c>
      <c r="I19" s="2">
        <f t="shared" si="0"/>
        <v>1.0718999753419637E-2</v>
      </c>
      <c r="J19" s="2">
        <f t="shared" si="1"/>
        <v>682.8637500000001</v>
      </c>
      <c r="K19" s="2">
        <f t="shared" si="2"/>
        <v>683.03533333333337</v>
      </c>
      <c r="L19" s="2">
        <f t="shared" si="3"/>
        <v>682.89580645161277</v>
      </c>
      <c r="M19" s="4">
        <f t="shared" si="4"/>
        <v>1.8072900802111779E-2</v>
      </c>
      <c r="N19" s="2" t="str">
        <f>TEXT(Table3[[#This Row],[Date]],"YYYY-MM")</f>
        <v>2025-05</v>
      </c>
      <c r="O19" s="2">
        <f>O18+Table3[[#This Row],[Volume]]</f>
        <v>5636176</v>
      </c>
    </row>
    <row r="20" spans="1:15" x14ac:dyDescent="0.35">
      <c r="A20" s="3" t="s">
        <v>49</v>
      </c>
      <c r="B20" s="2" t="s">
        <v>71</v>
      </c>
      <c r="C20" s="2">
        <v>685.7</v>
      </c>
      <c r="D20" s="2">
        <v>702.35</v>
      </c>
      <c r="E20" s="2">
        <v>669.14</v>
      </c>
      <c r="F20" s="2">
        <v>684.59</v>
      </c>
      <c r="G20" s="2">
        <v>685.97</v>
      </c>
      <c r="H20" s="2">
        <v>358202</v>
      </c>
      <c r="I20" s="2">
        <f t="shared" si="0"/>
        <v>-1.6187837246609503E-3</v>
      </c>
      <c r="J20" s="2">
        <f t="shared" si="1"/>
        <v>680.91250000000002</v>
      </c>
      <c r="K20" s="2">
        <f t="shared" si="2"/>
        <v>681.85333333333324</v>
      </c>
      <c r="L20" s="2">
        <f t="shared" si="3"/>
        <v>682.13258064516117</v>
      </c>
      <c r="M20" s="4">
        <f t="shared" si="4"/>
        <v>4.8432259005395994E-2</v>
      </c>
      <c r="N20" s="2" t="str">
        <f>TEXT(Table3[[#This Row],[Date]],"YYYY-MM")</f>
        <v>2025-05</v>
      </c>
      <c r="O20" s="2">
        <f>O19+Table3[[#This Row],[Volume]]</f>
        <v>5994378</v>
      </c>
    </row>
    <row r="21" spans="1:15" x14ac:dyDescent="0.35">
      <c r="A21" s="3" t="s">
        <v>48</v>
      </c>
      <c r="B21" s="2" t="s">
        <v>71</v>
      </c>
      <c r="C21" s="2">
        <v>670.48</v>
      </c>
      <c r="D21" s="2">
        <v>688.45</v>
      </c>
      <c r="E21" s="2">
        <v>658.38</v>
      </c>
      <c r="F21" s="2">
        <v>680.63</v>
      </c>
      <c r="G21" s="2">
        <v>682.5</v>
      </c>
      <c r="H21" s="2">
        <v>260994</v>
      </c>
      <c r="I21" s="2">
        <f t="shared" si="0"/>
        <v>1.5138408304498236E-2</v>
      </c>
      <c r="J21" s="2">
        <f t="shared" si="1"/>
        <v>679.60750000000007</v>
      </c>
      <c r="K21" s="2">
        <f t="shared" si="2"/>
        <v>682.53133333333346</v>
      </c>
      <c r="L21" s="2">
        <f t="shared" si="3"/>
        <v>682.01741935483869</v>
      </c>
      <c r="M21" s="4">
        <f t="shared" si="4"/>
        <v>4.4848466770075243E-2</v>
      </c>
      <c r="N21" s="2" t="str">
        <f>TEXT(Table3[[#This Row],[Date]],"YYYY-MM")</f>
        <v>2025-05</v>
      </c>
      <c r="O21" s="2">
        <f>O20+Table3[[#This Row],[Volume]]</f>
        <v>6255372</v>
      </c>
    </row>
    <row r="22" spans="1:15" x14ac:dyDescent="0.35">
      <c r="A22" s="3" t="s">
        <v>47</v>
      </c>
      <c r="B22" s="2" t="s">
        <v>71</v>
      </c>
      <c r="C22" s="2">
        <v>691.98</v>
      </c>
      <c r="D22" s="2">
        <v>700.43</v>
      </c>
      <c r="E22" s="2">
        <v>683.78</v>
      </c>
      <c r="F22" s="2">
        <v>691.07</v>
      </c>
      <c r="G22" s="2">
        <v>689.19</v>
      </c>
      <c r="H22" s="2">
        <v>431464</v>
      </c>
      <c r="I22" s="2">
        <f t="shared" si="0"/>
        <v>-1.315066909448204E-3</v>
      </c>
      <c r="J22" s="2">
        <f t="shared" si="1"/>
        <v>678.63625000000002</v>
      </c>
      <c r="K22" s="2">
        <f t="shared" si="2"/>
        <v>683.19200000000012</v>
      </c>
      <c r="L22" s="2">
        <f t="shared" si="3"/>
        <v>682.31548387096791</v>
      </c>
      <c r="M22" s="4">
        <f t="shared" si="4"/>
        <v>2.4061389057487177E-2</v>
      </c>
      <c r="N22" s="2" t="str">
        <f>TEXT(Table3[[#This Row],[Date]],"YYYY-MM")</f>
        <v>2025-05</v>
      </c>
      <c r="O22" s="2">
        <f>O21+Table3[[#This Row],[Volume]]</f>
        <v>6686836</v>
      </c>
    </row>
    <row r="23" spans="1:15" x14ac:dyDescent="0.35">
      <c r="A23" s="3" t="s">
        <v>46</v>
      </c>
      <c r="B23" s="2" t="s">
        <v>71</v>
      </c>
      <c r="C23" s="2">
        <v>689.5</v>
      </c>
      <c r="D23" s="2">
        <v>700.8</v>
      </c>
      <c r="E23" s="2">
        <v>674.92</v>
      </c>
      <c r="F23" s="2">
        <v>687.36</v>
      </c>
      <c r="G23" s="2">
        <v>686.95</v>
      </c>
      <c r="H23" s="2">
        <v>229327</v>
      </c>
      <c r="I23" s="2">
        <f t="shared" si="0"/>
        <v>-3.1036983321247082E-3</v>
      </c>
      <c r="J23" s="2">
        <f t="shared" si="1"/>
        <v>679.46875</v>
      </c>
      <c r="K23" s="2">
        <f t="shared" si="2"/>
        <v>683.2113333333333</v>
      </c>
      <c r="L23" s="2">
        <f t="shared" si="3"/>
        <v>682.41225806451621</v>
      </c>
      <c r="M23" s="4">
        <f t="shared" si="4"/>
        <v>3.7534445250181285E-2</v>
      </c>
      <c r="N23" s="2" t="str">
        <f>TEXT(Table3[[#This Row],[Date]],"YYYY-MM")</f>
        <v>2025-04</v>
      </c>
      <c r="O23" s="2">
        <f>O22+Table3[[#This Row],[Volume]]</f>
        <v>6916163</v>
      </c>
    </row>
    <row r="24" spans="1:15" x14ac:dyDescent="0.35">
      <c r="A24" s="3" t="s">
        <v>45</v>
      </c>
      <c r="B24" s="2" t="s">
        <v>71</v>
      </c>
      <c r="C24" s="2">
        <v>694.22</v>
      </c>
      <c r="D24" s="2">
        <v>703.32</v>
      </c>
      <c r="E24" s="2">
        <v>674.96</v>
      </c>
      <c r="F24" s="2">
        <v>695.69</v>
      </c>
      <c r="G24" s="2">
        <v>694.29</v>
      </c>
      <c r="H24" s="2">
        <v>184832</v>
      </c>
      <c r="I24" s="2">
        <f t="shared" si="0"/>
        <v>2.1174843709487298E-3</v>
      </c>
      <c r="J24" s="2">
        <f t="shared" si="1"/>
        <v>679.16499999999996</v>
      </c>
      <c r="K24" s="2">
        <f t="shared" si="2"/>
        <v>683.71866666666676</v>
      </c>
      <c r="L24" s="2">
        <f t="shared" si="3"/>
        <v>682.19516129032263</v>
      </c>
      <c r="M24" s="4">
        <f t="shared" si="4"/>
        <v>4.0851603238166591E-2</v>
      </c>
      <c r="N24" s="2" t="str">
        <f>TEXT(Table3[[#This Row],[Date]],"YYYY-MM")</f>
        <v>2025-04</v>
      </c>
      <c r="O24" s="2">
        <f>O23+Table3[[#This Row],[Volume]]</f>
        <v>7100995</v>
      </c>
    </row>
    <row r="25" spans="1:15" x14ac:dyDescent="0.35">
      <c r="A25" s="3" t="s">
        <v>44</v>
      </c>
      <c r="B25" s="2" t="s">
        <v>71</v>
      </c>
      <c r="C25" s="2">
        <v>668.52</v>
      </c>
      <c r="D25" s="2">
        <v>675.97</v>
      </c>
      <c r="E25" s="2">
        <v>651.6</v>
      </c>
      <c r="F25" s="2">
        <v>652.79</v>
      </c>
      <c r="G25" s="2">
        <v>653.55999999999995</v>
      </c>
      <c r="H25" s="2">
        <v>106422</v>
      </c>
      <c r="I25" s="2">
        <f t="shared" si="0"/>
        <v>-2.3529587746065964E-2</v>
      </c>
      <c r="J25" s="2">
        <f t="shared" si="1"/>
        <v>677.5100000000001</v>
      </c>
      <c r="K25" s="2">
        <f t="shared" si="2"/>
        <v>682.86800000000017</v>
      </c>
      <c r="L25" s="2">
        <f t="shared" si="3"/>
        <v>682.03645161290342</v>
      </c>
      <c r="M25" s="4">
        <f t="shared" si="4"/>
        <v>3.64536588284569E-2</v>
      </c>
      <c r="N25" s="2" t="str">
        <f>TEXT(Table3[[#This Row],[Date]],"YYYY-MM")</f>
        <v>2025-04</v>
      </c>
      <c r="O25" s="2">
        <f>O24+Table3[[#This Row],[Volume]]</f>
        <v>7207417</v>
      </c>
    </row>
    <row r="26" spans="1:15" x14ac:dyDescent="0.35">
      <c r="A26" s="3" t="s">
        <v>43</v>
      </c>
      <c r="B26" s="2" t="s">
        <v>71</v>
      </c>
      <c r="C26" s="2">
        <v>681.69</v>
      </c>
      <c r="D26" s="2">
        <v>698.25</v>
      </c>
      <c r="E26" s="2">
        <v>666.44</v>
      </c>
      <c r="F26" s="2">
        <v>672.17</v>
      </c>
      <c r="G26" s="2">
        <v>671.95</v>
      </c>
      <c r="H26" s="2">
        <v>497259</v>
      </c>
      <c r="I26" s="2">
        <f t="shared" si="0"/>
        <v>-1.3965292141589425E-2</v>
      </c>
      <c r="J26" s="2">
        <f t="shared" si="1"/>
        <v>681.82125000000008</v>
      </c>
      <c r="K26" s="2">
        <f t="shared" si="2"/>
        <v>683.01266666666675</v>
      </c>
      <c r="L26" s="2">
        <f t="shared" si="3"/>
        <v>682.6500000000002</v>
      </c>
      <c r="M26" s="4">
        <f t="shared" si="4"/>
        <v>4.666343939327252E-2</v>
      </c>
      <c r="N26" s="2" t="str">
        <f>TEXT(Table3[[#This Row],[Date]],"YYYY-MM")</f>
        <v>2025-04</v>
      </c>
      <c r="O26" s="2">
        <f>O25+Table3[[#This Row],[Volume]]</f>
        <v>7704676</v>
      </c>
    </row>
    <row r="27" spans="1:15" x14ac:dyDescent="0.35">
      <c r="A27" s="3" t="s">
        <v>42</v>
      </c>
      <c r="B27" s="2" t="s">
        <v>71</v>
      </c>
      <c r="C27" s="2">
        <v>677.41</v>
      </c>
      <c r="D27" s="2">
        <v>693.78</v>
      </c>
      <c r="E27" s="2">
        <v>672.04</v>
      </c>
      <c r="F27" s="2">
        <v>684.8</v>
      </c>
      <c r="G27" s="2">
        <v>682.89</v>
      </c>
      <c r="H27" s="2">
        <v>466163</v>
      </c>
      <c r="I27" s="2">
        <f t="shared" si="0"/>
        <v>1.090919826988085E-2</v>
      </c>
      <c r="J27" s="2">
        <f t="shared" si="1"/>
        <v>682.92374999999993</v>
      </c>
      <c r="K27" s="2">
        <f t="shared" si="2"/>
        <v>683.99400000000003</v>
      </c>
      <c r="L27" s="2">
        <f t="shared" si="3"/>
        <v>682.83741935483874</v>
      </c>
      <c r="M27" s="4">
        <f t="shared" si="4"/>
        <v>3.2092824139000033E-2</v>
      </c>
      <c r="N27" s="2" t="str">
        <f>TEXT(Table3[[#This Row],[Date]],"YYYY-MM")</f>
        <v>2025-04</v>
      </c>
      <c r="O27" s="2">
        <f>O26+Table3[[#This Row],[Volume]]</f>
        <v>8170839</v>
      </c>
    </row>
    <row r="28" spans="1:15" x14ac:dyDescent="0.35">
      <c r="A28" s="3" t="s">
        <v>41</v>
      </c>
      <c r="B28" s="2" t="s">
        <v>71</v>
      </c>
      <c r="C28" s="2">
        <v>664.9</v>
      </c>
      <c r="D28" s="2">
        <v>679.21</v>
      </c>
      <c r="E28" s="2">
        <v>659.21</v>
      </c>
      <c r="F28" s="2">
        <v>674.04</v>
      </c>
      <c r="G28" s="2">
        <v>675.53</v>
      </c>
      <c r="H28" s="2">
        <v>179832</v>
      </c>
      <c r="I28" s="2">
        <f t="shared" si="0"/>
        <v>1.3746428034290851E-2</v>
      </c>
      <c r="J28" s="2">
        <f t="shared" si="1"/>
        <v>684.58</v>
      </c>
      <c r="K28" s="2">
        <f t="shared" si="2"/>
        <v>683.70333333333338</v>
      </c>
      <c r="L28" s="2">
        <f t="shared" si="3"/>
        <v>682.95419354838702</v>
      </c>
      <c r="M28" s="4">
        <f t="shared" si="4"/>
        <v>3.0079711234772148E-2</v>
      </c>
      <c r="N28" s="2" t="str">
        <f>TEXT(Table3[[#This Row],[Date]],"YYYY-MM")</f>
        <v>2025-04</v>
      </c>
      <c r="O28" s="2">
        <f>O27+Table3[[#This Row],[Volume]]</f>
        <v>8350671</v>
      </c>
    </row>
    <row r="29" spans="1:15" x14ac:dyDescent="0.35">
      <c r="A29" s="3" t="s">
        <v>40</v>
      </c>
      <c r="B29" s="2" t="s">
        <v>71</v>
      </c>
      <c r="C29" s="2">
        <v>678.54</v>
      </c>
      <c r="D29" s="2">
        <v>688.05</v>
      </c>
      <c r="E29" s="2">
        <v>662.92</v>
      </c>
      <c r="F29" s="2">
        <v>676.46</v>
      </c>
      <c r="G29" s="2">
        <v>674.73</v>
      </c>
      <c r="H29" s="2">
        <v>403488</v>
      </c>
      <c r="I29" s="2">
        <f t="shared" si="0"/>
        <v>-3.0654051345534931E-3</v>
      </c>
      <c r="J29" s="2">
        <f t="shared" si="1"/>
        <v>686.68999999999994</v>
      </c>
      <c r="K29" s="2">
        <f t="shared" si="2"/>
        <v>683.91266666666672</v>
      </c>
      <c r="L29" s="2">
        <f t="shared" si="3"/>
        <v>683.32709677419348</v>
      </c>
      <c r="M29" s="4">
        <f t="shared" si="4"/>
        <v>3.7035399534294217E-2</v>
      </c>
      <c r="N29" s="2" t="str">
        <f>TEXT(Table3[[#This Row],[Date]],"YYYY-MM")</f>
        <v>2025-04</v>
      </c>
      <c r="O29" s="2">
        <f>O28+Table3[[#This Row],[Volume]]</f>
        <v>8754159</v>
      </c>
    </row>
    <row r="30" spans="1:15" x14ac:dyDescent="0.35">
      <c r="A30" s="3" t="s">
        <v>39</v>
      </c>
      <c r="B30" s="2" t="s">
        <v>71</v>
      </c>
      <c r="C30" s="2">
        <v>695.09</v>
      </c>
      <c r="D30" s="2">
        <v>714.07</v>
      </c>
      <c r="E30" s="2">
        <v>688.55</v>
      </c>
      <c r="F30" s="2">
        <v>694.1</v>
      </c>
      <c r="G30" s="2">
        <v>695.85</v>
      </c>
      <c r="H30" s="2">
        <v>463704</v>
      </c>
      <c r="I30" s="2">
        <f t="shared" si="0"/>
        <v>-1.424275993036886E-3</v>
      </c>
      <c r="J30" s="2">
        <f t="shared" si="1"/>
        <v>688.53375000000005</v>
      </c>
      <c r="K30" s="2">
        <f t="shared" si="2"/>
        <v>683.76333333333343</v>
      </c>
      <c r="L30" s="2">
        <f t="shared" si="3"/>
        <v>683.04322580645157</v>
      </c>
      <c r="M30" s="4">
        <f t="shared" si="4"/>
        <v>3.6714670042728416E-2</v>
      </c>
      <c r="N30" s="2" t="str">
        <f>TEXT(Table3[[#This Row],[Date]],"YYYY-MM")</f>
        <v>2025-04</v>
      </c>
      <c r="O30" s="2">
        <f>O29+Table3[[#This Row],[Volume]]</f>
        <v>9217863</v>
      </c>
    </row>
    <row r="31" spans="1:15" x14ac:dyDescent="0.35">
      <c r="A31" s="3" t="s">
        <v>38</v>
      </c>
      <c r="B31" s="2" t="s">
        <v>71</v>
      </c>
      <c r="C31" s="2">
        <v>679.92</v>
      </c>
      <c r="D31" s="2">
        <v>696.34</v>
      </c>
      <c r="E31" s="2">
        <v>666.8</v>
      </c>
      <c r="F31" s="2">
        <v>682.67</v>
      </c>
      <c r="G31" s="2">
        <v>684.52</v>
      </c>
      <c r="H31" s="2">
        <v>320034</v>
      </c>
      <c r="I31" s="2">
        <f t="shared" si="0"/>
        <v>4.0445934815860696E-3</v>
      </c>
      <c r="J31" s="2">
        <f t="shared" si="1"/>
        <v>688.37249999999995</v>
      </c>
      <c r="K31" s="2">
        <f t="shared" si="2"/>
        <v>682.40266666666673</v>
      </c>
      <c r="L31" s="2">
        <f t="shared" si="3"/>
        <v>682.91322580645158</v>
      </c>
      <c r="M31" s="4">
        <f t="shared" si="4"/>
        <v>4.3446287798564652E-2</v>
      </c>
      <c r="N31" s="2" t="str">
        <f>TEXT(Table3[[#This Row],[Date]],"YYYY-MM")</f>
        <v>2025-04</v>
      </c>
      <c r="O31" s="2">
        <f>O30+Table3[[#This Row],[Volume]]</f>
        <v>9537897</v>
      </c>
    </row>
    <row r="32" spans="1:15" x14ac:dyDescent="0.35">
      <c r="A32" s="3" t="s">
        <v>37</v>
      </c>
      <c r="B32" s="2" t="s">
        <v>71</v>
      </c>
      <c r="C32" s="2">
        <v>683.25</v>
      </c>
      <c r="D32" s="2">
        <v>692.15</v>
      </c>
      <c r="E32" s="2">
        <v>668.74</v>
      </c>
      <c r="F32" s="2">
        <v>680.89</v>
      </c>
      <c r="G32" s="2">
        <v>681.05</v>
      </c>
      <c r="H32" s="2">
        <v>138151</v>
      </c>
      <c r="I32" s="2">
        <f t="shared" si="0"/>
        <v>-3.4540797658251204E-3</v>
      </c>
      <c r="J32" s="2">
        <f t="shared" si="1"/>
        <v>687.99874999999986</v>
      </c>
      <c r="K32" s="2">
        <f t="shared" si="2"/>
        <v>683.67466666666655</v>
      </c>
      <c r="L32" s="2">
        <f t="shared" si="3"/>
        <v>701.30096774193544</v>
      </c>
      <c r="M32" s="4">
        <f t="shared" si="4"/>
        <v>3.4262714965239617E-2</v>
      </c>
      <c r="N32" s="2" t="str">
        <f>TEXT(Table3[[#This Row],[Date]],"YYYY-MM")</f>
        <v>2025-04</v>
      </c>
      <c r="O32" s="2">
        <f>O31+Table3[[#This Row],[Volume]]</f>
        <v>9676048</v>
      </c>
    </row>
    <row r="33" spans="1:15" x14ac:dyDescent="0.35">
      <c r="A33" s="3" t="s">
        <v>36</v>
      </c>
      <c r="B33" s="2" t="s">
        <v>71</v>
      </c>
      <c r="C33" s="2">
        <v>683.29</v>
      </c>
      <c r="D33" s="2">
        <v>688.39</v>
      </c>
      <c r="E33" s="2">
        <v>673.98</v>
      </c>
      <c r="F33" s="2">
        <v>687.58</v>
      </c>
      <c r="G33" s="2">
        <v>688.05</v>
      </c>
      <c r="H33" s="2">
        <v>210931</v>
      </c>
      <c r="I33" s="2">
        <f t="shared" si="0"/>
        <v>6.2784469259027321E-3</v>
      </c>
      <c r="J33" s="2">
        <f t="shared" si="1"/>
        <v>684.83375000000001</v>
      </c>
      <c r="K33" s="2">
        <f t="shared" si="2"/>
        <v>683.68133333333344</v>
      </c>
      <c r="L33" s="2">
        <f t="shared" si="3"/>
        <v>719.27709677419352</v>
      </c>
      <c r="M33" s="4">
        <f t="shared" si="4"/>
        <v>2.1089142238288235E-2</v>
      </c>
      <c r="N33" s="2" t="str">
        <f>TEXT(Table3[[#This Row],[Date]],"YYYY-MM")</f>
        <v>2025-04</v>
      </c>
      <c r="O33" s="2">
        <f>O32+Table3[[#This Row],[Volume]]</f>
        <v>9886979</v>
      </c>
    </row>
    <row r="34" spans="1:15" x14ac:dyDescent="0.35">
      <c r="A34" s="3" t="s">
        <v>35</v>
      </c>
      <c r="B34" s="2" t="s">
        <v>71</v>
      </c>
      <c r="C34" s="2">
        <v>679.3</v>
      </c>
      <c r="D34" s="2">
        <v>695.45</v>
      </c>
      <c r="E34" s="2">
        <v>671.89</v>
      </c>
      <c r="F34" s="2">
        <v>679.5</v>
      </c>
      <c r="G34" s="2">
        <v>680.77</v>
      </c>
      <c r="H34" s="2">
        <v>331160</v>
      </c>
      <c r="I34" s="2">
        <f t="shared" si="0"/>
        <v>2.944207272192632E-4</v>
      </c>
      <c r="J34" s="2">
        <f t="shared" si="1"/>
        <v>684.66124999999988</v>
      </c>
      <c r="K34" s="2">
        <f t="shared" si="2"/>
        <v>682.9173333333332</v>
      </c>
      <c r="L34" s="2">
        <f t="shared" si="3"/>
        <v>738.49096774193538</v>
      </c>
      <c r="M34" s="4">
        <f t="shared" si="4"/>
        <v>3.4682761666421404E-2</v>
      </c>
      <c r="N34" s="2" t="str">
        <f>TEXT(Table3[[#This Row],[Date]],"YYYY-MM")</f>
        <v>2025-04</v>
      </c>
      <c r="O34" s="2">
        <f>O33+Table3[[#This Row],[Volume]]</f>
        <v>10218139</v>
      </c>
    </row>
    <row r="35" spans="1:15" x14ac:dyDescent="0.35">
      <c r="A35" s="3" t="s">
        <v>34</v>
      </c>
      <c r="B35" s="2" t="s">
        <v>71</v>
      </c>
      <c r="C35" s="2">
        <v>696.82</v>
      </c>
      <c r="D35" s="2">
        <v>704.2</v>
      </c>
      <c r="E35" s="2">
        <v>678.61</v>
      </c>
      <c r="F35" s="2">
        <v>694.65</v>
      </c>
      <c r="G35" s="2">
        <v>696.14</v>
      </c>
      <c r="H35" s="2">
        <v>220141</v>
      </c>
      <c r="I35" s="2">
        <f t="shared" si="0"/>
        <v>-3.1141471255131492E-3</v>
      </c>
      <c r="J35" s="2">
        <f t="shared" si="1"/>
        <v>684.38125000000002</v>
      </c>
      <c r="K35" s="2">
        <f t="shared" si="2"/>
        <v>682.89799999999991</v>
      </c>
      <c r="L35" s="2">
        <f t="shared" si="3"/>
        <v>757.68580645161296</v>
      </c>
      <c r="M35" s="4">
        <f t="shared" si="4"/>
        <v>3.6723974627593969E-2</v>
      </c>
      <c r="N35" s="2" t="str">
        <f>TEXT(Table3[[#This Row],[Date]],"YYYY-MM")</f>
        <v>2025-04</v>
      </c>
      <c r="O35" s="2">
        <f>O34+Table3[[#This Row],[Volume]]</f>
        <v>10438280</v>
      </c>
    </row>
    <row r="36" spans="1:15" x14ac:dyDescent="0.35">
      <c r="A36" s="3" t="s">
        <v>33</v>
      </c>
      <c r="B36" s="2" t="s">
        <v>71</v>
      </c>
      <c r="C36" s="2">
        <v>687.06</v>
      </c>
      <c r="D36" s="2">
        <v>704.62</v>
      </c>
      <c r="E36" s="2">
        <v>671.6</v>
      </c>
      <c r="F36" s="2">
        <v>691.69</v>
      </c>
      <c r="G36" s="2">
        <v>692.41</v>
      </c>
      <c r="H36" s="2">
        <v>238356</v>
      </c>
      <c r="I36" s="2">
        <f t="shared" si="0"/>
        <v>6.7388583238728924E-3</v>
      </c>
      <c r="J36" s="2">
        <f t="shared" si="1"/>
        <v>682.19749999999988</v>
      </c>
      <c r="K36" s="2">
        <f t="shared" si="2"/>
        <v>681.47799999999984</v>
      </c>
      <c r="L36" s="2">
        <f t="shared" si="3"/>
        <v>775.61774193548388</v>
      </c>
      <c r="M36" s="4">
        <f t="shared" si="4"/>
        <v>4.8059849212586943E-2</v>
      </c>
      <c r="N36" s="2" t="str">
        <f>TEXT(Table3[[#This Row],[Date]],"YYYY-MM")</f>
        <v>2025-04</v>
      </c>
      <c r="O36" s="2">
        <f>O35+Table3[[#This Row],[Volume]]</f>
        <v>10676636</v>
      </c>
    </row>
    <row r="37" spans="1:15" x14ac:dyDescent="0.35">
      <c r="A37" s="3" t="s">
        <v>32</v>
      </c>
      <c r="B37" s="2" t="s">
        <v>71</v>
      </c>
      <c r="C37" s="2">
        <v>688.84</v>
      </c>
      <c r="D37" s="2">
        <v>705.8</v>
      </c>
      <c r="E37" s="2">
        <v>673.96</v>
      </c>
      <c r="F37" s="2">
        <v>688.08</v>
      </c>
      <c r="G37" s="2">
        <v>689.48</v>
      </c>
      <c r="H37" s="2">
        <v>261274</v>
      </c>
      <c r="I37" s="2">
        <f t="shared" si="0"/>
        <v>-1.1033041054526317E-3</v>
      </c>
      <c r="J37" s="2">
        <f t="shared" si="1"/>
        <v>679.70749999999998</v>
      </c>
      <c r="K37" s="2">
        <f t="shared" si="2"/>
        <v>680.81066666666663</v>
      </c>
      <c r="L37" s="2">
        <f t="shared" si="3"/>
        <v>793.57870967741951</v>
      </c>
      <c r="M37" s="4">
        <f t="shared" si="4"/>
        <v>4.6222635154752799E-2</v>
      </c>
      <c r="N37" s="2" t="str">
        <f>TEXT(Table3[[#This Row],[Date]],"YYYY-MM")</f>
        <v>2025-04</v>
      </c>
      <c r="O37" s="2">
        <f>O36+Table3[[#This Row],[Volume]]</f>
        <v>10937910</v>
      </c>
    </row>
    <row r="38" spans="1:15" x14ac:dyDescent="0.35">
      <c r="A38" s="3" t="s">
        <v>31</v>
      </c>
      <c r="B38" s="2" t="s">
        <v>71</v>
      </c>
      <c r="C38" s="2">
        <v>695.06</v>
      </c>
      <c r="D38" s="2">
        <v>705.28</v>
      </c>
      <c r="E38" s="2">
        <v>679.89</v>
      </c>
      <c r="F38" s="2">
        <v>694.3</v>
      </c>
      <c r="G38" s="2">
        <v>694.56</v>
      </c>
      <c r="H38" s="2">
        <v>123379</v>
      </c>
      <c r="I38" s="2">
        <f t="shared" si="0"/>
        <v>-1.0934307829539767E-3</v>
      </c>
      <c r="J38" s="2">
        <f t="shared" si="1"/>
        <v>677.95249999999987</v>
      </c>
      <c r="K38" s="2">
        <f t="shared" si="2"/>
        <v>680.96133333333319</v>
      </c>
      <c r="L38" s="2">
        <f t="shared" si="3"/>
        <v>812.00129032258064</v>
      </c>
      <c r="M38" s="4">
        <f t="shared" si="4"/>
        <v>3.6529220498949716E-2</v>
      </c>
      <c r="N38" s="2" t="str">
        <f>TEXT(Table3[[#This Row],[Date]],"YYYY-MM")</f>
        <v>2025-04</v>
      </c>
      <c r="O38" s="2">
        <f>O37+Table3[[#This Row],[Volume]]</f>
        <v>11061289</v>
      </c>
    </row>
    <row r="39" spans="1:15" x14ac:dyDescent="0.35">
      <c r="A39" s="3" t="s">
        <v>30</v>
      </c>
      <c r="B39" s="2" t="s">
        <v>71</v>
      </c>
      <c r="C39" s="2">
        <v>677.82</v>
      </c>
      <c r="D39" s="2">
        <v>695.59</v>
      </c>
      <c r="E39" s="2">
        <v>665.39</v>
      </c>
      <c r="F39" s="2">
        <v>681.61</v>
      </c>
      <c r="G39" s="2">
        <v>681.53</v>
      </c>
      <c r="H39" s="2">
        <v>373364</v>
      </c>
      <c r="I39" s="2">
        <f t="shared" si="0"/>
        <v>5.591454958543512E-3</v>
      </c>
      <c r="J39" s="2">
        <f t="shared" si="1"/>
        <v>679.08249999999998</v>
      </c>
      <c r="K39" s="2">
        <f t="shared" si="2"/>
        <v>680.80333333333328</v>
      </c>
      <c r="L39" s="2">
        <f t="shared" si="3"/>
        <v>829.64322580645171</v>
      </c>
      <c r="M39" s="4">
        <f t="shared" si="4"/>
        <v>4.45546015166269E-2</v>
      </c>
      <c r="N39" s="2" t="str">
        <f>TEXT(Table3[[#This Row],[Date]],"YYYY-MM")</f>
        <v>2025-04</v>
      </c>
      <c r="O39" s="2">
        <f>O38+Table3[[#This Row],[Volume]]</f>
        <v>11434653</v>
      </c>
    </row>
    <row r="40" spans="1:15" x14ac:dyDescent="0.35">
      <c r="A40" s="3" t="s">
        <v>29</v>
      </c>
      <c r="B40" s="2" t="s">
        <v>71</v>
      </c>
      <c r="C40" s="2">
        <v>665.51</v>
      </c>
      <c r="D40" s="2">
        <v>674.41</v>
      </c>
      <c r="E40" s="2">
        <v>649.66</v>
      </c>
      <c r="F40" s="2">
        <v>655.75</v>
      </c>
      <c r="G40" s="2">
        <v>655.73</v>
      </c>
      <c r="H40" s="2">
        <v>251407</v>
      </c>
      <c r="I40" s="2">
        <f t="shared" si="0"/>
        <v>-1.4665444546287796E-2</v>
      </c>
      <c r="J40" s="2">
        <f t="shared" si="1"/>
        <v>679.03499999999997</v>
      </c>
      <c r="K40" s="2">
        <f t="shared" si="2"/>
        <v>680.71600000000001</v>
      </c>
      <c r="L40" s="2">
        <f t="shared" si="3"/>
        <v>848.38322580645172</v>
      </c>
      <c r="M40" s="4">
        <f t="shared" si="4"/>
        <v>3.718952382383435E-2</v>
      </c>
      <c r="N40" s="2" t="str">
        <f>TEXT(Table3[[#This Row],[Date]],"YYYY-MM")</f>
        <v>2025-04</v>
      </c>
      <c r="O40" s="2">
        <f>O39+Table3[[#This Row],[Volume]]</f>
        <v>11686060</v>
      </c>
    </row>
    <row r="41" spans="1:15" x14ac:dyDescent="0.35">
      <c r="A41" s="3" t="s">
        <v>28</v>
      </c>
      <c r="B41" s="2" t="s">
        <v>71</v>
      </c>
      <c r="C41" s="2">
        <v>685.86</v>
      </c>
      <c r="D41" s="2">
        <v>700.69</v>
      </c>
      <c r="E41" s="2">
        <v>672.6</v>
      </c>
      <c r="F41" s="2">
        <v>688.32</v>
      </c>
      <c r="G41" s="2">
        <v>686.67</v>
      </c>
      <c r="H41" s="2">
        <v>498888</v>
      </c>
      <c r="I41" s="2">
        <f t="shared" si="0"/>
        <v>3.5867378182136826E-3</v>
      </c>
      <c r="J41" s="2">
        <f t="shared" si="1"/>
        <v>681.64249999999993</v>
      </c>
      <c r="K41" s="2">
        <f t="shared" si="2"/>
        <v>682.95866666666666</v>
      </c>
      <c r="L41" s="2">
        <f t="shared" si="3"/>
        <v>867.42258064516136</v>
      </c>
      <c r="M41" s="4">
        <f t="shared" si="4"/>
        <v>4.0955880208789014E-2</v>
      </c>
      <c r="N41" s="2" t="str">
        <f>TEXT(Table3[[#This Row],[Date]],"YYYY-MM")</f>
        <v>2025-04</v>
      </c>
      <c r="O41" s="2">
        <f>O40+Table3[[#This Row],[Volume]]</f>
        <v>12184948</v>
      </c>
    </row>
    <row r="42" spans="1:15" x14ac:dyDescent="0.35">
      <c r="A42" s="3" t="s">
        <v>27</v>
      </c>
      <c r="B42" s="2" t="s">
        <v>71</v>
      </c>
      <c r="C42" s="2">
        <v>674.6</v>
      </c>
      <c r="D42" s="2">
        <v>692.76</v>
      </c>
      <c r="E42" s="2">
        <v>665.62</v>
      </c>
      <c r="F42" s="2">
        <v>680.01</v>
      </c>
      <c r="G42" s="2">
        <v>678.53</v>
      </c>
      <c r="H42" s="2">
        <v>499244</v>
      </c>
      <c r="I42" s="2">
        <f t="shared" si="0"/>
        <v>8.0195671509041919E-3</v>
      </c>
      <c r="J42" s="2">
        <f t="shared" si="1"/>
        <v>680.86875000000009</v>
      </c>
      <c r="K42" s="2">
        <f t="shared" si="2"/>
        <v>682.01933333333341</v>
      </c>
      <c r="L42" s="2">
        <f t="shared" si="3"/>
        <v>885.22096774193562</v>
      </c>
      <c r="M42" s="4">
        <f t="shared" si="4"/>
        <v>4.0231248147050085E-2</v>
      </c>
      <c r="N42" s="2" t="str">
        <f>TEXT(Table3[[#This Row],[Date]],"YYYY-MM")</f>
        <v>2025-04</v>
      </c>
      <c r="O42" s="2">
        <f>O41+Table3[[#This Row],[Volume]]</f>
        <v>12684192</v>
      </c>
    </row>
    <row r="43" spans="1:15" x14ac:dyDescent="0.35">
      <c r="A43" s="3" t="s">
        <v>26</v>
      </c>
      <c r="B43" s="2" t="s">
        <v>71</v>
      </c>
      <c r="C43" s="2">
        <v>677.48</v>
      </c>
      <c r="D43" s="2">
        <v>685.84</v>
      </c>
      <c r="E43" s="2">
        <v>664.43</v>
      </c>
      <c r="F43" s="2">
        <v>678.3</v>
      </c>
      <c r="G43" s="2">
        <v>678.67</v>
      </c>
      <c r="H43" s="2">
        <v>353625</v>
      </c>
      <c r="I43" s="2">
        <f t="shared" si="0"/>
        <v>1.2103678337366953E-3</v>
      </c>
      <c r="J43" s="2">
        <f t="shared" si="1"/>
        <v>680.40750000000003</v>
      </c>
      <c r="K43" s="2">
        <f t="shared" si="2"/>
        <v>681.96800000000007</v>
      </c>
      <c r="L43" s="2">
        <f t="shared" si="3"/>
        <v>903.45806451612907</v>
      </c>
      <c r="M43" s="4">
        <f t="shared" si="4"/>
        <v>3.1602408927200926E-2</v>
      </c>
      <c r="N43" s="2" t="str">
        <f>TEXT(Table3[[#This Row],[Date]],"YYYY-MM")</f>
        <v>2025-04</v>
      </c>
      <c r="O43" s="2">
        <f>O42+Table3[[#This Row],[Volume]]</f>
        <v>13037817</v>
      </c>
    </row>
    <row r="44" spans="1:15" x14ac:dyDescent="0.35">
      <c r="A44" s="3" t="s">
        <v>25</v>
      </c>
      <c r="B44" s="2" t="s">
        <v>71</v>
      </c>
      <c r="C44" s="2">
        <v>679.27</v>
      </c>
      <c r="D44" s="2">
        <v>695.64</v>
      </c>
      <c r="E44" s="2">
        <v>663.83</v>
      </c>
      <c r="F44" s="2">
        <v>673.87</v>
      </c>
      <c r="G44" s="2">
        <v>672.49</v>
      </c>
      <c r="H44" s="2">
        <v>289931</v>
      </c>
      <c r="I44" s="2">
        <f t="shared" si="0"/>
        <v>-7.94971071885992E-3</v>
      </c>
      <c r="J44" s="2">
        <f t="shared" si="1"/>
        <v>680.87374999999997</v>
      </c>
      <c r="K44" s="2">
        <f t="shared" si="2"/>
        <v>682.4906666666667</v>
      </c>
      <c r="L44" s="2">
        <f t="shared" si="3"/>
        <v>922.56419354838715</v>
      </c>
      <c r="M44" s="4">
        <f t="shared" si="4"/>
        <v>4.6829684808691603E-2</v>
      </c>
      <c r="N44" s="2" t="str">
        <f>TEXT(Table3[[#This Row],[Date]],"YYYY-MM")</f>
        <v>2025-04</v>
      </c>
      <c r="O44" s="2">
        <f>O43+Table3[[#This Row],[Volume]]</f>
        <v>13327748</v>
      </c>
    </row>
    <row r="45" spans="1:15" x14ac:dyDescent="0.35">
      <c r="A45" s="3" t="s">
        <v>24</v>
      </c>
      <c r="B45" s="2" t="s">
        <v>71</v>
      </c>
      <c r="C45" s="2">
        <v>676.77</v>
      </c>
      <c r="D45" s="2">
        <v>693.46</v>
      </c>
      <c r="E45" s="2">
        <v>666.52</v>
      </c>
      <c r="F45" s="2">
        <v>677.21</v>
      </c>
      <c r="G45" s="2">
        <v>675.44</v>
      </c>
      <c r="H45" s="2">
        <v>479291</v>
      </c>
      <c r="I45" s="2">
        <f t="shared" si="0"/>
        <v>6.5014702188343832E-4</v>
      </c>
      <c r="J45" s="2">
        <f t="shared" si="1"/>
        <v>683.28</v>
      </c>
      <c r="K45" s="2">
        <f t="shared" si="2"/>
        <v>683.46400000000006</v>
      </c>
      <c r="L45" s="2">
        <f t="shared" si="3"/>
        <v>941.30096774193555</v>
      </c>
      <c r="M45" s="4">
        <f t="shared" si="4"/>
        <v>3.9806729021676576E-2</v>
      </c>
      <c r="N45" s="2" t="str">
        <f>TEXT(Table3[[#This Row],[Date]],"YYYY-MM")</f>
        <v>2025-03</v>
      </c>
      <c r="O45" s="2">
        <f>O44+Table3[[#This Row],[Volume]]</f>
        <v>13807039</v>
      </c>
    </row>
    <row r="46" spans="1:15" x14ac:dyDescent="0.35">
      <c r="A46" s="3" t="s">
        <v>23</v>
      </c>
      <c r="B46" s="2" t="s">
        <v>71</v>
      </c>
      <c r="C46" s="2">
        <v>694.67</v>
      </c>
      <c r="D46" s="2">
        <v>707.36</v>
      </c>
      <c r="E46" s="2">
        <v>686.21</v>
      </c>
      <c r="F46" s="2">
        <v>704.89</v>
      </c>
      <c r="G46" s="2">
        <v>703.6</v>
      </c>
      <c r="H46" s="2">
        <v>185284</v>
      </c>
      <c r="I46" s="2">
        <f t="shared" si="0"/>
        <v>1.471202153540534E-2</v>
      </c>
      <c r="J46" s="2">
        <f t="shared" si="1"/>
        <v>685.37374999999997</v>
      </c>
      <c r="K46" s="2">
        <f t="shared" si="2"/>
        <v>682.83</v>
      </c>
      <c r="L46" s="2">
        <f t="shared" si="3"/>
        <v>960.08580645161294</v>
      </c>
      <c r="M46" s="4">
        <f t="shared" si="4"/>
        <v>3.0446111103113679E-2</v>
      </c>
      <c r="N46" s="2" t="str">
        <f>TEXT(Table3[[#This Row],[Date]],"YYYY-MM")</f>
        <v>2025-03</v>
      </c>
      <c r="O46" s="2">
        <f>O45+Table3[[#This Row],[Volume]]</f>
        <v>13992323</v>
      </c>
    </row>
    <row r="47" spans="1:15" x14ac:dyDescent="0.35">
      <c r="A47" s="3" t="s">
        <v>22</v>
      </c>
      <c r="B47" s="2" t="s">
        <v>71</v>
      </c>
      <c r="C47" s="2">
        <v>671.77</v>
      </c>
      <c r="D47" s="2">
        <v>691.64</v>
      </c>
      <c r="E47" s="2">
        <v>663.29</v>
      </c>
      <c r="F47" s="2">
        <v>679.38</v>
      </c>
      <c r="G47" s="2">
        <v>681.15</v>
      </c>
      <c r="H47" s="2">
        <v>353807</v>
      </c>
      <c r="I47" s="2">
        <f t="shared" si="0"/>
        <v>1.1328282001280221E-2</v>
      </c>
      <c r="J47" s="2">
        <f t="shared" si="1"/>
        <v>682.45124999999996</v>
      </c>
      <c r="K47" s="2">
        <f t="shared" si="2"/>
        <v>682.04466666666667</v>
      </c>
      <c r="L47" s="2">
        <f t="shared" si="3"/>
        <v>977.15548387096771</v>
      </c>
      <c r="M47" s="4">
        <f t="shared" si="4"/>
        <v>4.2201944117778438E-2</v>
      </c>
      <c r="N47" s="2" t="str">
        <f>TEXT(Table3[[#This Row],[Date]],"YYYY-MM")</f>
        <v>2025-03</v>
      </c>
      <c r="O47" s="2">
        <f>O46+Table3[[#This Row],[Volume]]</f>
        <v>14346130</v>
      </c>
    </row>
    <row r="48" spans="1:15" x14ac:dyDescent="0.35">
      <c r="A48" s="3" t="s">
        <v>21</v>
      </c>
      <c r="B48" s="2" t="s">
        <v>71</v>
      </c>
      <c r="C48" s="2">
        <v>681.34</v>
      </c>
      <c r="D48" s="2">
        <v>699.53</v>
      </c>
      <c r="E48" s="2">
        <v>662.17</v>
      </c>
      <c r="F48" s="2">
        <v>676.72</v>
      </c>
      <c r="G48" s="2">
        <v>676.59</v>
      </c>
      <c r="H48" s="2">
        <v>425478</v>
      </c>
      <c r="I48" s="2">
        <f t="shared" si="0"/>
        <v>-6.7807555699063672E-3</v>
      </c>
      <c r="J48" s="2">
        <f t="shared" si="1"/>
        <v>683.47874999999999</v>
      </c>
      <c r="K48" s="2">
        <f t="shared" si="2"/>
        <v>720.27066666666678</v>
      </c>
      <c r="L48" s="2">
        <f t="shared" si="3"/>
        <v>995.45838709677412</v>
      </c>
      <c r="M48" s="4">
        <f t="shared" si="4"/>
        <v>5.4833122963571804E-2</v>
      </c>
      <c r="N48" s="2" t="str">
        <f>TEXT(Table3[[#This Row],[Date]],"YYYY-MM")</f>
        <v>2025-03</v>
      </c>
      <c r="O48" s="2">
        <f>O47+Table3[[#This Row],[Volume]]</f>
        <v>14771608</v>
      </c>
    </row>
    <row r="49" spans="1:15" x14ac:dyDescent="0.35">
      <c r="A49" s="3" t="s">
        <v>20</v>
      </c>
      <c r="B49" s="2" t="s">
        <v>71</v>
      </c>
      <c r="C49" s="2">
        <v>682.65</v>
      </c>
      <c r="D49" s="2">
        <v>693.41</v>
      </c>
      <c r="E49" s="2">
        <v>667.46</v>
      </c>
      <c r="F49" s="2">
        <v>681.61</v>
      </c>
      <c r="G49" s="2">
        <v>680.48</v>
      </c>
      <c r="H49" s="2">
        <v>311909</v>
      </c>
      <c r="I49" s="2">
        <f t="shared" si="0"/>
        <v>-1.5234746942063484E-3</v>
      </c>
      <c r="J49" s="2">
        <f t="shared" si="1"/>
        <v>682.97749999999996</v>
      </c>
      <c r="K49" s="2">
        <f t="shared" si="2"/>
        <v>757.71866666666676</v>
      </c>
      <c r="L49" s="2">
        <f t="shared" si="3"/>
        <v>1014.1835483870968</v>
      </c>
      <c r="M49" s="4">
        <f t="shared" si="4"/>
        <v>3.8013623379476939E-2</v>
      </c>
      <c r="N49" s="2" t="str">
        <f>TEXT(Table3[[#This Row],[Date]],"YYYY-MM")</f>
        <v>2025-03</v>
      </c>
      <c r="O49" s="2">
        <f>O48+Table3[[#This Row],[Volume]]</f>
        <v>15083517</v>
      </c>
    </row>
    <row r="50" spans="1:15" x14ac:dyDescent="0.35">
      <c r="A50" s="3" t="s">
        <v>19</v>
      </c>
      <c r="B50" s="2" t="s">
        <v>71</v>
      </c>
      <c r="C50" s="2">
        <v>680</v>
      </c>
      <c r="D50" s="2">
        <v>689.31</v>
      </c>
      <c r="E50" s="2">
        <v>670.56</v>
      </c>
      <c r="F50" s="2">
        <v>675.91</v>
      </c>
      <c r="G50" s="2">
        <v>674.84</v>
      </c>
      <c r="H50" s="2">
        <v>243211</v>
      </c>
      <c r="I50" s="2">
        <f t="shared" si="0"/>
        <v>-6.0147058823529879E-3</v>
      </c>
      <c r="J50" s="2">
        <f t="shared" si="1"/>
        <v>682.63750000000005</v>
      </c>
      <c r="K50" s="2">
        <f t="shared" si="2"/>
        <v>797.93200000000013</v>
      </c>
      <c r="L50" s="2">
        <f t="shared" si="3"/>
        <v>1033.261935483871</v>
      </c>
      <c r="M50" s="4">
        <f t="shared" si="4"/>
        <v>2.7573529411764705E-2</v>
      </c>
      <c r="N50" s="2" t="str">
        <f>TEXT(Table3[[#This Row],[Date]],"YYYY-MM")</f>
        <v>2025-03</v>
      </c>
      <c r="O50" s="2">
        <f>O49+Table3[[#This Row],[Volume]]</f>
        <v>15326728</v>
      </c>
    </row>
    <row r="51" spans="1:15" x14ac:dyDescent="0.35">
      <c r="A51" s="3" t="s">
        <v>18</v>
      </c>
      <c r="B51" s="2" t="s">
        <v>71</v>
      </c>
      <c r="C51" s="2">
        <v>678.54</v>
      </c>
      <c r="D51" s="2">
        <v>689.86</v>
      </c>
      <c r="E51" s="2">
        <v>662.48</v>
      </c>
      <c r="F51" s="2">
        <v>683.44</v>
      </c>
      <c r="G51" s="2">
        <v>682.4</v>
      </c>
      <c r="H51" s="2">
        <v>460010</v>
      </c>
      <c r="I51" s="2">
        <f t="shared" si="0"/>
        <v>7.2213870958235202E-3</v>
      </c>
      <c r="J51" s="2">
        <f t="shared" si="1"/>
        <v>684.09625000000005</v>
      </c>
      <c r="K51" s="2">
        <f t="shared" si="2"/>
        <v>837.99666666666667</v>
      </c>
      <c r="L51" s="2">
        <f t="shared" si="3"/>
        <v>1052.96</v>
      </c>
      <c r="M51" s="4">
        <f t="shared" si="4"/>
        <v>4.0351342588498831E-2</v>
      </c>
      <c r="N51" s="2" t="str">
        <f>TEXT(Table3[[#This Row],[Date]],"YYYY-MM")</f>
        <v>2025-03</v>
      </c>
      <c r="O51" s="2">
        <f>O50+Table3[[#This Row],[Volume]]</f>
        <v>15786738</v>
      </c>
    </row>
    <row r="52" spans="1:15" x14ac:dyDescent="0.35">
      <c r="A52" s="3" t="s">
        <v>17</v>
      </c>
      <c r="B52" s="2" t="s">
        <v>71</v>
      </c>
      <c r="C52" s="2">
        <v>695.23</v>
      </c>
      <c r="D52" s="2">
        <v>706.26</v>
      </c>
      <c r="E52" s="2">
        <v>683.03</v>
      </c>
      <c r="F52" s="2">
        <v>691.23</v>
      </c>
      <c r="G52" s="2">
        <v>691.74</v>
      </c>
      <c r="H52" s="2">
        <v>468353</v>
      </c>
      <c r="I52" s="2">
        <f t="shared" si="0"/>
        <v>-5.7534916502452425E-3</v>
      </c>
      <c r="J52" s="2">
        <f t="shared" si="1"/>
        <v>684.6825</v>
      </c>
      <c r="K52" s="2">
        <f t="shared" si="2"/>
        <v>875.97199999999998</v>
      </c>
      <c r="L52" s="2">
        <f t="shared" si="3"/>
        <v>1071.9135483870969</v>
      </c>
      <c r="M52" s="4">
        <f t="shared" si="4"/>
        <v>3.3413402758799268E-2</v>
      </c>
      <c r="N52" s="2" t="str">
        <f>TEXT(Table3[[#This Row],[Date]],"YYYY-MM")</f>
        <v>2025-03</v>
      </c>
      <c r="O52" s="2">
        <f>O51+Table3[[#This Row],[Volume]]</f>
        <v>16255091</v>
      </c>
    </row>
    <row r="53" spans="1:15" x14ac:dyDescent="0.35">
      <c r="A53" s="3" t="s">
        <v>16</v>
      </c>
      <c r="B53" s="2" t="s">
        <v>71</v>
      </c>
      <c r="C53" s="2">
        <v>683.82</v>
      </c>
      <c r="D53" s="2">
        <v>702.91</v>
      </c>
      <c r="E53" s="2">
        <v>666.84</v>
      </c>
      <c r="F53" s="2">
        <v>690.2</v>
      </c>
      <c r="G53" s="2">
        <v>692.19</v>
      </c>
      <c r="H53" s="2">
        <v>195731</v>
      </c>
      <c r="I53" s="2">
        <f t="shared" si="0"/>
        <v>9.3299406276505445E-3</v>
      </c>
      <c r="J53" s="2">
        <f t="shared" si="1"/>
        <v>681.45625000000007</v>
      </c>
      <c r="K53" s="2">
        <f t="shared" si="2"/>
        <v>913.13600000000008</v>
      </c>
      <c r="L53" s="2">
        <f t="shared" si="3"/>
        <v>1090.1122580645163</v>
      </c>
      <c r="M53" s="4">
        <f t="shared" si="4"/>
        <v>5.2747799128425511E-2</v>
      </c>
      <c r="N53" s="2" t="str">
        <f>TEXT(Table3[[#This Row],[Date]],"YYYY-MM")</f>
        <v>2025-03</v>
      </c>
      <c r="O53" s="2">
        <f>O52+Table3[[#This Row],[Volume]]</f>
        <v>16450822</v>
      </c>
    </row>
    <row r="54" spans="1:15" x14ac:dyDescent="0.35">
      <c r="A54" s="3" t="s">
        <v>15</v>
      </c>
      <c r="B54" s="2" t="s">
        <v>71</v>
      </c>
      <c r="C54" s="2">
        <v>676.49</v>
      </c>
      <c r="D54" s="2">
        <v>690.88</v>
      </c>
      <c r="E54" s="2">
        <v>658.2</v>
      </c>
      <c r="F54" s="2">
        <v>679.76</v>
      </c>
      <c r="G54" s="2">
        <v>680.22</v>
      </c>
      <c r="H54" s="2">
        <v>385644</v>
      </c>
      <c r="I54" s="2">
        <f t="shared" si="0"/>
        <v>4.8337743351712249E-3</v>
      </c>
      <c r="J54" s="2">
        <f t="shared" si="1"/>
        <v>681.41000000000008</v>
      </c>
      <c r="K54" s="2">
        <f t="shared" si="2"/>
        <v>951.02866666666682</v>
      </c>
      <c r="L54" s="2">
        <f t="shared" si="3"/>
        <v>1107.6903225806452</v>
      </c>
      <c r="M54" s="4">
        <f t="shared" si="4"/>
        <v>4.8308178982689985E-2</v>
      </c>
      <c r="N54" s="2" t="str">
        <f>TEXT(Table3[[#This Row],[Date]],"YYYY-MM")</f>
        <v>2025-03</v>
      </c>
      <c r="O54" s="2">
        <f>O53+Table3[[#This Row],[Volume]]</f>
        <v>16836466</v>
      </c>
    </row>
    <row r="55" spans="1:15" x14ac:dyDescent="0.35">
      <c r="A55" s="3" t="s">
        <v>14</v>
      </c>
      <c r="B55" s="2" t="s">
        <v>71</v>
      </c>
      <c r="C55" s="2">
        <v>695.56</v>
      </c>
      <c r="D55" s="2">
        <v>701.54</v>
      </c>
      <c r="E55" s="2">
        <v>685.83</v>
      </c>
      <c r="F55" s="2">
        <v>689.21</v>
      </c>
      <c r="G55" s="2">
        <v>689.37</v>
      </c>
      <c r="H55" s="2">
        <v>150185</v>
      </c>
      <c r="I55" s="2">
        <f t="shared" si="0"/>
        <v>-9.1293346368392508E-3</v>
      </c>
      <c r="J55" s="2">
        <f t="shared" si="1"/>
        <v>753.2</v>
      </c>
      <c r="K55" s="2">
        <f t="shared" si="2"/>
        <v>988.44466666666676</v>
      </c>
      <c r="L55" s="2">
        <f t="shared" si="3"/>
        <v>1126.2109677419355</v>
      </c>
      <c r="M55" s="4">
        <f t="shared" si="4"/>
        <v>2.2586117660589919E-2</v>
      </c>
      <c r="N55" s="2" t="str">
        <f>TEXT(Table3[[#This Row],[Date]],"YYYY-MM")</f>
        <v>2025-03</v>
      </c>
      <c r="O55" s="2">
        <f>O54+Table3[[#This Row],[Volume]]</f>
        <v>16986651</v>
      </c>
    </row>
    <row r="56" spans="1:15" x14ac:dyDescent="0.35">
      <c r="A56" s="3" t="s">
        <v>13</v>
      </c>
      <c r="B56" s="2" t="s">
        <v>71</v>
      </c>
      <c r="C56" s="2">
        <v>668.95</v>
      </c>
      <c r="D56" s="2">
        <v>675.76</v>
      </c>
      <c r="E56" s="2">
        <v>662.8</v>
      </c>
      <c r="F56" s="2">
        <v>671.79</v>
      </c>
      <c r="G56" s="2">
        <v>672.58</v>
      </c>
      <c r="H56" s="2">
        <v>445061</v>
      </c>
      <c r="I56" s="2">
        <f t="shared" si="0"/>
        <v>4.2454593018909003E-3</v>
      </c>
      <c r="J56" s="2">
        <f t="shared" si="1"/>
        <v>821.81749999999988</v>
      </c>
      <c r="K56" s="2">
        <f t="shared" si="2"/>
        <v>1026.6513333333332</v>
      </c>
      <c r="L56" s="2">
        <f t="shared" si="3"/>
        <v>1143.588064516129</v>
      </c>
      <c r="M56" s="4">
        <f t="shared" si="4"/>
        <v>1.9373645264967539E-2</v>
      </c>
      <c r="N56" s="2" t="str">
        <f>TEXT(Table3[[#This Row],[Date]],"YYYY-MM")</f>
        <v>2025-03</v>
      </c>
      <c r="O56" s="2">
        <f>O55+Table3[[#This Row],[Volume]]</f>
        <v>17431712</v>
      </c>
    </row>
    <row r="57" spans="1:15" x14ac:dyDescent="0.35">
      <c r="A57" s="3" t="s">
        <v>12</v>
      </c>
      <c r="B57" s="2" t="s">
        <v>71</v>
      </c>
      <c r="C57" s="2">
        <v>683.28</v>
      </c>
      <c r="D57" s="2">
        <v>693.07</v>
      </c>
      <c r="E57" s="2">
        <v>665.85</v>
      </c>
      <c r="F57" s="2">
        <v>679.61</v>
      </c>
      <c r="G57" s="2">
        <v>677.76</v>
      </c>
      <c r="H57" s="2">
        <v>240741</v>
      </c>
      <c r="I57" s="2">
        <f t="shared" si="0"/>
        <v>-5.3711509190960648E-3</v>
      </c>
      <c r="J57" s="2">
        <f t="shared" si="1"/>
        <v>898.20499999999993</v>
      </c>
      <c r="K57" s="2">
        <f t="shared" si="2"/>
        <v>1064.876</v>
      </c>
      <c r="L57" s="2">
        <f t="shared" si="3"/>
        <v>1162.0838709677419</v>
      </c>
      <c r="M57" s="4">
        <f t="shared" si="4"/>
        <v>3.9837255590680291E-2</v>
      </c>
      <c r="N57" s="2" t="str">
        <f>TEXT(Table3[[#This Row],[Date]],"YYYY-MM")</f>
        <v>2025-03</v>
      </c>
      <c r="O57" s="2">
        <f>O56+Table3[[#This Row],[Volume]]</f>
        <v>17672453</v>
      </c>
    </row>
    <row r="58" spans="1:15" x14ac:dyDescent="0.35">
      <c r="A58" s="3" t="s">
        <v>11</v>
      </c>
      <c r="B58" s="2" t="s">
        <v>71</v>
      </c>
      <c r="C58" s="2">
        <v>687.47</v>
      </c>
      <c r="D58" s="2">
        <v>707.04</v>
      </c>
      <c r="E58" s="2">
        <v>668.31</v>
      </c>
      <c r="F58" s="2">
        <v>686.61</v>
      </c>
      <c r="G58" s="2">
        <v>686.51</v>
      </c>
      <c r="H58" s="2">
        <v>316105</v>
      </c>
      <c r="I58" s="2">
        <f t="shared" si="0"/>
        <v>-1.2509636784150779E-3</v>
      </c>
      <c r="J58" s="2">
        <f t="shared" si="1"/>
        <v>972.96125000000006</v>
      </c>
      <c r="K58" s="2">
        <f t="shared" si="2"/>
        <v>1102.2533333333336</v>
      </c>
      <c r="L58" s="2">
        <f t="shared" si="3"/>
        <v>1180.5148387096774</v>
      </c>
      <c r="M58" s="4">
        <f t="shared" si="4"/>
        <v>5.6337003796529325E-2</v>
      </c>
      <c r="N58" s="2" t="str">
        <f>TEXT(Table3[[#This Row],[Date]],"YYYY-MM")</f>
        <v>2025-03</v>
      </c>
      <c r="O58" s="2">
        <f>O57+Table3[[#This Row],[Volume]]</f>
        <v>17988558</v>
      </c>
    </row>
    <row r="59" spans="1:15" x14ac:dyDescent="0.35">
      <c r="A59" s="3" t="s">
        <v>10</v>
      </c>
      <c r="B59" s="2" t="s">
        <v>71</v>
      </c>
      <c r="C59" s="2">
        <v>687.3</v>
      </c>
      <c r="D59" s="2">
        <v>695.01</v>
      </c>
      <c r="E59" s="2">
        <v>673.78</v>
      </c>
      <c r="F59" s="2">
        <v>685.43</v>
      </c>
      <c r="G59" s="2">
        <v>687.09</v>
      </c>
      <c r="H59" s="2">
        <v>342063</v>
      </c>
      <c r="I59" s="2">
        <f t="shared" si="0"/>
        <v>-2.7207915029826926E-3</v>
      </c>
      <c r="J59" s="2">
        <f t="shared" si="1"/>
        <v>1043.6512500000001</v>
      </c>
      <c r="K59" s="2">
        <f t="shared" si="2"/>
        <v>1139.4113333333335</v>
      </c>
      <c r="L59" s="2">
        <f t="shared" si="3"/>
        <v>1198.6480645161289</v>
      </c>
      <c r="M59" s="4">
        <f t="shared" si="4"/>
        <v>3.0888985886803461E-2</v>
      </c>
      <c r="N59" s="2" t="str">
        <f>TEXT(Table3[[#This Row],[Date]],"YYYY-MM")</f>
        <v>2025-03</v>
      </c>
      <c r="O59" s="2">
        <f>O58+Table3[[#This Row],[Volume]]</f>
        <v>18330621</v>
      </c>
    </row>
    <row r="60" spans="1:15" x14ac:dyDescent="0.35">
      <c r="A60" s="3" t="s">
        <v>9</v>
      </c>
      <c r="B60" s="2" t="s">
        <v>71</v>
      </c>
      <c r="C60" s="2">
        <v>667.73</v>
      </c>
      <c r="D60" s="2">
        <v>687.55</v>
      </c>
      <c r="E60" s="2">
        <v>648.57000000000005</v>
      </c>
      <c r="F60" s="2">
        <v>667.77</v>
      </c>
      <c r="G60" s="2">
        <v>665.93</v>
      </c>
      <c r="H60" s="2">
        <v>474865</v>
      </c>
      <c r="I60" s="2">
        <f t="shared" si="0"/>
        <v>5.9904452398370028E-5</v>
      </c>
      <c r="J60" s="2">
        <f t="shared" si="1"/>
        <v>1113.915</v>
      </c>
      <c r="K60" s="2">
        <f t="shared" si="2"/>
        <v>1178.336</v>
      </c>
      <c r="L60" s="2">
        <f t="shared" si="3"/>
        <v>1216.3645161290326</v>
      </c>
      <c r="M60" s="4">
        <f t="shared" si="4"/>
        <v>5.8376888862264546E-2</v>
      </c>
      <c r="N60" s="2" t="str">
        <f>TEXT(Table3[[#This Row],[Date]],"YYYY-MM")</f>
        <v>2025-03</v>
      </c>
      <c r="O60" s="2">
        <f>O59+Table3[[#This Row],[Volume]]</f>
        <v>18805486</v>
      </c>
    </row>
    <row r="61" spans="1:15" x14ac:dyDescent="0.35">
      <c r="A61" s="3" t="s">
        <v>8</v>
      </c>
      <c r="B61" s="2" t="s">
        <v>71</v>
      </c>
      <c r="C61" s="2">
        <v>688.6</v>
      </c>
      <c r="D61" s="2">
        <v>703.98</v>
      </c>
      <c r="E61" s="2">
        <v>670.86</v>
      </c>
      <c r="F61" s="2">
        <v>692.82</v>
      </c>
      <c r="G61" s="2">
        <v>691.82</v>
      </c>
      <c r="H61" s="2">
        <v>466456</v>
      </c>
      <c r="I61" s="2">
        <f t="shared" si="0"/>
        <v>6.1283764159163912E-3</v>
      </c>
      <c r="J61" s="2">
        <f t="shared" si="1"/>
        <v>1188.2462499999999</v>
      </c>
      <c r="K61" s="2">
        <f t="shared" si="2"/>
        <v>1217.4960000000001</v>
      </c>
      <c r="L61" s="2">
        <f t="shared" si="3"/>
        <v>1234.7480645161293</v>
      </c>
      <c r="M61" s="4">
        <f t="shared" si="4"/>
        <v>4.8097589311646823E-2</v>
      </c>
      <c r="N61" s="2" t="str">
        <f>TEXT(Table3[[#This Row],[Date]],"YYYY-MM")</f>
        <v>2025-03</v>
      </c>
      <c r="O61" s="2">
        <f>O60+Table3[[#This Row],[Volume]]</f>
        <v>19271942</v>
      </c>
    </row>
    <row r="62" spans="1:15" x14ac:dyDescent="0.35">
      <c r="A62" s="3" t="s">
        <v>67</v>
      </c>
      <c r="B62" s="2" t="s">
        <v>69</v>
      </c>
      <c r="C62" s="2">
        <v>1254.28</v>
      </c>
      <c r="D62" s="2">
        <v>1262.8399999999999</v>
      </c>
      <c r="E62" s="2">
        <v>1247.75</v>
      </c>
      <c r="F62" s="2">
        <v>1255.93</v>
      </c>
      <c r="G62" s="2">
        <v>1254.54</v>
      </c>
      <c r="H62" s="2">
        <v>496471</v>
      </c>
      <c r="I62" s="2">
        <f t="shared" si="0"/>
        <v>1.3154957425774874E-3</v>
      </c>
      <c r="J62" s="2">
        <f t="shared" si="1"/>
        <v>1256.9512500000001</v>
      </c>
      <c r="K62" s="2">
        <f t="shared" si="2"/>
        <v>1255.2260000000001</v>
      </c>
      <c r="L62" s="2">
        <f t="shared" si="3"/>
        <v>1253.0470967741937</v>
      </c>
      <c r="M62" s="4">
        <f t="shared" si="4"/>
        <v>1.2030806518480658E-2</v>
      </c>
      <c r="N62" s="2" t="str">
        <f>TEXT(Table3[[#This Row],[Date]],"YYYY-MM")</f>
        <v>2025-05</v>
      </c>
      <c r="O62" s="2">
        <f>O61+Table3[[#This Row],[Volume]]</f>
        <v>19768413</v>
      </c>
    </row>
    <row r="63" spans="1:15" x14ac:dyDescent="0.35">
      <c r="A63" s="3" t="s">
        <v>66</v>
      </c>
      <c r="B63" s="2" t="s">
        <v>69</v>
      </c>
      <c r="C63" s="2">
        <v>1245.24</v>
      </c>
      <c r="D63" s="2">
        <v>1259.93</v>
      </c>
      <c r="E63" s="2">
        <v>1231.68</v>
      </c>
      <c r="F63" s="2">
        <v>1238.8900000000001</v>
      </c>
      <c r="G63" s="2">
        <v>1238.31</v>
      </c>
      <c r="H63" s="2">
        <v>264438</v>
      </c>
      <c r="I63" s="2">
        <f t="shared" si="0"/>
        <v>-5.0994185859753209E-3</v>
      </c>
      <c r="J63" s="2">
        <f t="shared" si="1"/>
        <v>1257.9424999999999</v>
      </c>
      <c r="K63" s="2">
        <f t="shared" si="2"/>
        <v>1253.7739999999999</v>
      </c>
      <c r="L63" s="2">
        <f t="shared" si="3"/>
        <v>1253.3416129032257</v>
      </c>
      <c r="M63" s="4">
        <f t="shared" si="4"/>
        <v>2.2686389772252739E-2</v>
      </c>
      <c r="N63" s="2" t="str">
        <f>TEXT(Table3[[#This Row],[Date]],"YYYY-MM")</f>
        <v>2025-05</v>
      </c>
      <c r="O63" s="2">
        <f>O62+Table3[[#This Row],[Volume]]</f>
        <v>20032851</v>
      </c>
    </row>
    <row r="64" spans="1:15" x14ac:dyDescent="0.35">
      <c r="A64" s="3" t="s">
        <v>65</v>
      </c>
      <c r="B64" s="2" t="s">
        <v>69</v>
      </c>
      <c r="C64" s="2">
        <v>1277.74</v>
      </c>
      <c r="D64" s="2">
        <v>1293.92</v>
      </c>
      <c r="E64" s="2">
        <v>1266.27</v>
      </c>
      <c r="F64" s="2">
        <v>1285.17</v>
      </c>
      <c r="G64" s="2">
        <v>1283.68</v>
      </c>
      <c r="H64" s="2">
        <v>462344</v>
      </c>
      <c r="I64" s="2">
        <f t="shared" si="0"/>
        <v>5.8149545290904752E-3</v>
      </c>
      <c r="J64" s="2">
        <f t="shared" si="1"/>
        <v>1258.8975</v>
      </c>
      <c r="K64" s="2">
        <f t="shared" si="2"/>
        <v>1254.4559999999999</v>
      </c>
      <c r="L64" s="2">
        <f t="shared" si="3"/>
        <v>1254.7222580645162</v>
      </c>
      <c r="M64" s="4">
        <f t="shared" si="4"/>
        <v>2.163977021929351E-2</v>
      </c>
      <c r="N64" s="2" t="str">
        <f>TEXT(Table3[[#This Row],[Date]],"YYYY-MM")</f>
        <v>2025-05</v>
      </c>
      <c r="O64" s="2">
        <f>O63+Table3[[#This Row],[Volume]]</f>
        <v>20495195</v>
      </c>
    </row>
    <row r="65" spans="1:15" x14ac:dyDescent="0.35">
      <c r="A65" s="3" t="s">
        <v>64</v>
      </c>
      <c r="B65" s="2" t="s">
        <v>69</v>
      </c>
      <c r="C65" s="2">
        <v>1270.8699999999999</v>
      </c>
      <c r="D65" s="2">
        <v>1287.71</v>
      </c>
      <c r="E65" s="2">
        <v>1258.3900000000001</v>
      </c>
      <c r="F65" s="2">
        <v>1277.46</v>
      </c>
      <c r="G65" s="2">
        <v>1275.81</v>
      </c>
      <c r="H65" s="2">
        <v>227069</v>
      </c>
      <c r="I65" s="2">
        <f t="shared" si="0"/>
        <v>5.1854241582539092E-3</v>
      </c>
      <c r="J65" s="2">
        <f t="shared" si="1"/>
        <v>1253.24</v>
      </c>
      <c r="K65" s="2">
        <f t="shared" si="2"/>
        <v>1252.682</v>
      </c>
      <c r="L65" s="2">
        <f t="shared" si="3"/>
        <v>1253.7835483870967</v>
      </c>
      <c r="M65" s="4">
        <f t="shared" si="4"/>
        <v>2.3070809760242936E-2</v>
      </c>
      <c r="N65" s="2" t="str">
        <f>TEXT(Table3[[#This Row],[Date]],"YYYY-MM")</f>
        <v>2025-05</v>
      </c>
      <c r="O65" s="2">
        <f>O64+Table3[[#This Row],[Volume]]</f>
        <v>20722264</v>
      </c>
    </row>
    <row r="66" spans="1:15" x14ac:dyDescent="0.35">
      <c r="A66" s="3" t="s">
        <v>63</v>
      </c>
      <c r="B66" s="2" t="s">
        <v>69</v>
      </c>
      <c r="C66" s="2">
        <v>1252.1300000000001</v>
      </c>
      <c r="D66" s="2">
        <v>1261.96</v>
      </c>
      <c r="E66" s="2">
        <v>1243.96</v>
      </c>
      <c r="F66" s="2">
        <v>1252.72</v>
      </c>
      <c r="G66" s="2">
        <v>1252.03</v>
      </c>
      <c r="H66" s="2">
        <v>135327</v>
      </c>
      <c r="I66" s="2">
        <f t="shared" ref="I66:I129" si="5">(F66-C66)/C66</f>
        <v>4.7119708017531574E-4</v>
      </c>
      <c r="J66" s="2">
        <f t="shared" ref="J66:J129" si="6">AVERAGE(G66:G73)</f>
        <v>1249.2487500000002</v>
      </c>
      <c r="K66" s="2">
        <f t="shared" ref="K66:K129" si="7">AVERAGE(G66:G80)</f>
        <v>1252.422</v>
      </c>
      <c r="L66" s="2">
        <f t="shared" ref="L66:L129" si="8">AVERAGE(G66:G96)</f>
        <v>1253.3338709677421</v>
      </c>
      <c r="M66" s="4">
        <f t="shared" ref="M66:M129" si="9">(D66-E66)/C66</f>
        <v>1.437550414094383E-2</v>
      </c>
      <c r="N66" s="2" t="str">
        <f>TEXT(Table3[[#This Row],[Date]],"YYYY-MM")</f>
        <v>2025-05</v>
      </c>
      <c r="O66" s="2">
        <f>O65+Table3[[#This Row],[Volume]]</f>
        <v>20857591</v>
      </c>
    </row>
    <row r="67" spans="1:15" x14ac:dyDescent="0.35">
      <c r="A67" s="3" t="s">
        <v>62</v>
      </c>
      <c r="B67" s="2" t="s">
        <v>69</v>
      </c>
      <c r="C67" s="2">
        <v>1252.72</v>
      </c>
      <c r="D67" s="2">
        <v>1265.71</v>
      </c>
      <c r="E67" s="2">
        <v>1244.08</v>
      </c>
      <c r="F67" s="2">
        <v>1250.1199999999999</v>
      </c>
      <c r="G67" s="2">
        <v>1249.2</v>
      </c>
      <c r="H67" s="2">
        <v>196462</v>
      </c>
      <c r="I67" s="2">
        <f t="shared" si="5"/>
        <v>-2.075483747365841E-3</v>
      </c>
      <c r="J67" s="2">
        <f t="shared" si="6"/>
        <v>1251.6149999999998</v>
      </c>
      <c r="K67" s="2">
        <f t="shared" si="7"/>
        <v>1254.6519999999998</v>
      </c>
      <c r="L67" s="2">
        <f t="shared" si="8"/>
        <v>1253.9264516129035</v>
      </c>
      <c r="M67" s="4">
        <f t="shared" si="9"/>
        <v>1.7266428252123465E-2</v>
      </c>
      <c r="N67" s="2" t="str">
        <f>TEXT(Table3[[#This Row],[Date]],"YYYY-MM")</f>
        <v>2025-05</v>
      </c>
      <c r="O67" s="2">
        <f>O66+Table3[[#This Row],[Volume]]</f>
        <v>21054053</v>
      </c>
    </row>
    <row r="68" spans="1:15" x14ac:dyDescent="0.35">
      <c r="A68" s="3" t="s">
        <v>61</v>
      </c>
      <c r="B68" s="2" t="s">
        <v>69</v>
      </c>
      <c r="C68" s="2">
        <v>1262.51</v>
      </c>
      <c r="D68" s="2">
        <v>1280.94</v>
      </c>
      <c r="E68" s="2">
        <v>1249.83</v>
      </c>
      <c r="F68" s="2">
        <v>1260.45</v>
      </c>
      <c r="G68" s="2">
        <v>1260.58</v>
      </c>
      <c r="H68" s="2">
        <v>360471</v>
      </c>
      <c r="I68" s="2">
        <f t="shared" si="5"/>
        <v>-1.6316702441960423E-3</v>
      </c>
      <c r="J68" s="2">
        <f t="shared" si="6"/>
        <v>1252.1312500000001</v>
      </c>
      <c r="K68" s="2">
        <f t="shared" si="7"/>
        <v>1256.0360000000001</v>
      </c>
      <c r="L68" s="2">
        <f t="shared" si="8"/>
        <v>1253.8732258064522</v>
      </c>
      <c r="M68" s="4">
        <f t="shared" si="9"/>
        <v>2.4641388979097296E-2</v>
      </c>
      <c r="N68" s="2" t="str">
        <f>TEXT(Table3[[#This Row],[Date]],"YYYY-MM")</f>
        <v>2025-05</v>
      </c>
      <c r="O68" s="2">
        <f>O67+Table3[[#This Row],[Volume]]</f>
        <v>21414524</v>
      </c>
    </row>
    <row r="69" spans="1:15" x14ac:dyDescent="0.35">
      <c r="A69" s="3" t="s">
        <v>60</v>
      </c>
      <c r="B69" s="2" t="s">
        <v>69</v>
      </c>
      <c r="C69" s="2">
        <v>1251.25</v>
      </c>
      <c r="D69" s="2">
        <v>1265.52</v>
      </c>
      <c r="E69" s="2">
        <v>1240.72</v>
      </c>
      <c r="F69" s="2">
        <v>1241.6099999999999</v>
      </c>
      <c r="G69" s="2">
        <v>1241.46</v>
      </c>
      <c r="H69" s="2">
        <v>410408</v>
      </c>
      <c r="I69" s="2">
        <f t="shared" si="5"/>
        <v>-7.7042957042957839E-3</v>
      </c>
      <c r="J69" s="2">
        <f t="shared" si="6"/>
        <v>1251.7800000000002</v>
      </c>
      <c r="K69" s="2">
        <f t="shared" si="7"/>
        <v>1255.7239999999999</v>
      </c>
      <c r="L69" s="2">
        <f t="shared" si="8"/>
        <v>1253.7567741935488</v>
      </c>
      <c r="M69" s="4">
        <f t="shared" si="9"/>
        <v>1.9820179820179785E-2</v>
      </c>
      <c r="N69" s="2" t="str">
        <f>TEXT(Table3[[#This Row],[Date]],"YYYY-MM")</f>
        <v>2025-05</v>
      </c>
      <c r="O69" s="2">
        <f>O68+Table3[[#This Row],[Volume]]</f>
        <v>21824932</v>
      </c>
    </row>
    <row r="70" spans="1:15" x14ac:dyDescent="0.35">
      <c r="A70" s="3" t="s">
        <v>59</v>
      </c>
      <c r="B70" s="2" t="s">
        <v>69</v>
      </c>
      <c r="C70" s="2">
        <v>1262.51</v>
      </c>
      <c r="D70" s="2">
        <v>1278.73</v>
      </c>
      <c r="E70" s="2">
        <v>1254.74</v>
      </c>
      <c r="F70" s="2">
        <v>1263.6300000000001</v>
      </c>
      <c r="G70" s="2">
        <v>1262.47</v>
      </c>
      <c r="H70" s="2">
        <v>486731</v>
      </c>
      <c r="I70" s="2">
        <f t="shared" si="5"/>
        <v>8.8712168616495574E-4</v>
      </c>
      <c r="J70" s="2">
        <f t="shared" si="6"/>
        <v>1250.6925000000001</v>
      </c>
      <c r="K70" s="2">
        <f t="shared" si="7"/>
        <v>1255.4340000000002</v>
      </c>
      <c r="L70" s="2">
        <f t="shared" si="8"/>
        <v>1254.0061290322585</v>
      </c>
      <c r="M70" s="4">
        <f t="shared" si="9"/>
        <v>1.9001829688477724E-2</v>
      </c>
      <c r="N70" s="2" t="str">
        <f>TEXT(Table3[[#This Row],[Date]],"YYYY-MM")</f>
        <v>2025-05</v>
      </c>
      <c r="O70" s="2">
        <f>O69+Table3[[#This Row],[Volume]]</f>
        <v>22311663</v>
      </c>
    </row>
    <row r="71" spans="1:15" x14ac:dyDescent="0.35">
      <c r="A71" s="3" t="s">
        <v>58</v>
      </c>
      <c r="B71" s="2" t="s">
        <v>69</v>
      </c>
      <c r="C71" s="2">
        <v>1247</v>
      </c>
      <c r="D71" s="2">
        <v>1265.0999999999999</v>
      </c>
      <c r="E71" s="2">
        <v>1228.19</v>
      </c>
      <c r="F71" s="2">
        <v>1247.71</v>
      </c>
      <c r="G71" s="2">
        <v>1245.95</v>
      </c>
      <c r="H71" s="2">
        <v>473094</v>
      </c>
      <c r="I71" s="2">
        <f t="shared" si="5"/>
        <v>5.6936647955095144E-4</v>
      </c>
      <c r="J71" s="2">
        <f t="shared" si="6"/>
        <v>1248.9512500000001</v>
      </c>
      <c r="K71" s="2">
        <f t="shared" si="7"/>
        <v>1254.8933333333332</v>
      </c>
      <c r="L71" s="2">
        <f t="shared" si="8"/>
        <v>1253.0687096774195</v>
      </c>
      <c r="M71" s="4">
        <f t="shared" si="9"/>
        <v>2.9599037690456981E-2</v>
      </c>
      <c r="N71" s="2" t="str">
        <f>TEXT(Table3[[#This Row],[Date]],"YYYY-MM")</f>
        <v>2025-05</v>
      </c>
      <c r="O71" s="2">
        <f>O70+Table3[[#This Row],[Volume]]</f>
        <v>22784757</v>
      </c>
    </row>
    <row r="72" spans="1:15" x14ac:dyDescent="0.35">
      <c r="A72" s="3" t="s">
        <v>57</v>
      </c>
      <c r="B72" s="2" t="s">
        <v>69</v>
      </c>
      <c r="C72" s="2">
        <v>1239.6600000000001</v>
      </c>
      <c r="D72" s="2">
        <v>1250.1199999999999</v>
      </c>
      <c r="E72" s="2">
        <v>1227.1099999999999</v>
      </c>
      <c r="F72" s="2">
        <v>1237.6600000000001</v>
      </c>
      <c r="G72" s="2">
        <v>1238.42</v>
      </c>
      <c r="H72" s="2">
        <v>290209</v>
      </c>
      <c r="I72" s="2">
        <f t="shared" si="5"/>
        <v>-1.6133455947598533E-3</v>
      </c>
      <c r="J72" s="2">
        <f t="shared" si="6"/>
        <v>1250.3412499999999</v>
      </c>
      <c r="K72" s="2">
        <f t="shared" si="7"/>
        <v>1253.7006666666666</v>
      </c>
      <c r="L72" s="2">
        <f t="shared" si="8"/>
        <v>1253.1958064516132</v>
      </c>
      <c r="M72" s="4">
        <f t="shared" si="9"/>
        <v>1.8561541067712108E-2</v>
      </c>
      <c r="N72" s="2" t="str">
        <f>TEXT(Table3[[#This Row],[Date]],"YYYY-MM")</f>
        <v>2025-05</v>
      </c>
      <c r="O72" s="2">
        <f>O71+Table3[[#This Row],[Volume]]</f>
        <v>23074966</v>
      </c>
    </row>
    <row r="73" spans="1:15" x14ac:dyDescent="0.35">
      <c r="A73" s="3" t="s">
        <v>56</v>
      </c>
      <c r="B73" s="2" t="s">
        <v>69</v>
      </c>
      <c r="C73" s="2">
        <v>1248.7</v>
      </c>
      <c r="D73" s="2">
        <v>1256.3599999999999</v>
      </c>
      <c r="E73" s="2">
        <v>1242.3699999999999</v>
      </c>
      <c r="F73" s="2">
        <v>1245.4000000000001</v>
      </c>
      <c r="G73" s="2">
        <v>1243.8800000000001</v>
      </c>
      <c r="H73" s="2">
        <v>455915</v>
      </c>
      <c r="I73" s="2">
        <f t="shared" si="5"/>
        <v>-2.6427484583966959E-3</v>
      </c>
      <c r="J73" s="2">
        <f t="shared" si="6"/>
        <v>1254.5275000000001</v>
      </c>
      <c r="K73" s="2">
        <f t="shared" si="7"/>
        <v>1254.2026666666668</v>
      </c>
      <c r="L73" s="2">
        <f t="shared" si="8"/>
        <v>1253.8122580645163</v>
      </c>
      <c r="M73" s="4">
        <f t="shared" si="9"/>
        <v>1.1203651797869791E-2</v>
      </c>
      <c r="N73" s="2" t="str">
        <f>TEXT(Table3[[#This Row],[Date]],"YYYY-MM")</f>
        <v>2025-05</v>
      </c>
      <c r="O73" s="2">
        <f>O72+Table3[[#This Row],[Volume]]</f>
        <v>23530881</v>
      </c>
    </row>
    <row r="74" spans="1:15" x14ac:dyDescent="0.35">
      <c r="A74" s="3" t="s">
        <v>55</v>
      </c>
      <c r="B74" s="2" t="s">
        <v>69</v>
      </c>
      <c r="C74" s="2">
        <v>1274.55</v>
      </c>
      <c r="D74" s="2">
        <v>1282.1300000000001</v>
      </c>
      <c r="E74" s="2">
        <v>1266.67</v>
      </c>
      <c r="F74" s="2">
        <v>1272.8</v>
      </c>
      <c r="G74" s="2">
        <v>1270.96</v>
      </c>
      <c r="H74" s="2">
        <v>433143</v>
      </c>
      <c r="I74" s="2">
        <f t="shared" si="5"/>
        <v>-1.3730336197089168E-3</v>
      </c>
      <c r="J74" s="2">
        <f t="shared" si="6"/>
        <v>1259.7275</v>
      </c>
      <c r="K74" s="2">
        <f t="shared" si="7"/>
        <v>1254.5519999999999</v>
      </c>
      <c r="L74" s="2">
        <f t="shared" si="8"/>
        <v>1253.8306451612902</v>
      </c>
      <c r="M74" s="4">
        <f t="shared" si="9"/>
        <v>1.2129771291828517E-2</v>
      </c>
      <c r="N74" s="2" t="str">
        <f>TEXT(Table3[[#This Row],[Date]],"YYYY-MM")</f>
        <v>2025-05</v>
      </c>
      <c r="O74" s="2">
        <f>O73+Table3[[#This Row],[Volume]]</f>
        <v>23964024</v>
      </c>
    </row>
    <row r="75" spans="1:15" x14ac:dyDescent="0.35">
      <c r="A75" s="3" t="s">
        <v>54</v>
      </c>
      <c r="B75" s="2" t="s">
        <v>69</v>
      </c>
      <c r="C75" s="2">
        <v>1257.67</v>
      </c>
      <c r="D75" s="2">
        <v>1265.4000000000001</v>
      </c>
      <c r="E75" s="2">
        <v>1247.48</v>
      </c>
      <c r="F75" s="2">
        <v>1251.74</v>
      </c>
      <c r="G75" s="2">
        <v>1253.33</v>
      </c>
      <c r="H75" s="2">
        <v>432936</v>
      </c>
      <c r="I75" s="2">
        <f t="shared" si="5"/>
        <v>-4.7150683406617499E-3</v>
      </c>
      <c r="J75" s="2">
        <f t="shared" si="6"/>
        <v>1259.6025</v>
      </c>
      <c r="K75" s="2">
        <f t="shared" si="7"/>
        <v>1253.0639999999999</v>
      </c>
      <c r="L75" s="2">
        <f t="shared" si="8"/>
        <v>1253.4316129032254</v>
      </c>
      <c r="M75" s="4">
        <f t="shared" si="9"/>
        <v>1.424857076975683E-2</v>
      </c>
      <c r="N75" s="2" t="str">
        <f>TEXT(Table3[[#This Row],[Date]],"YYYY-MM")</f>
        <v>2025-05</v>
      </c>
      <c r="O75" s="2">
        <f>O74+Table3[[#This Row],[Volume]]</f>
        <v>24396960</v>
      </c>
    </row>
    <row r="76" spans="1:15" x14ac:dyDescent="0.35">
      <c r="A76" s="3" t="s">
        <v>53</v>
      </c>
      <c r="B76" s="2" t="s">
        <v>69</v>
      </c>
      <c r="C76" s="2">
        <v>1265.23</v>
      </c>
      <c r="D76" s="2">
        <v>1273.83</v>
      </c>
      <c r="E76" s="2">
        <v>1259.0899999999999</v>
      </c>
      <c r="F76" s="2">
        <v>1259.25</v>
      </c>
      <c r="G76" s="2">
        <v>1257.77</v>
      </c>
      <c r="H76" s="2">
        <v>433577</v>
      </c>
      <c r="I76" s="2">
        <f t="shared" si="5"/>
        <v>-4.7264133793855807E-3</v>
      </c>
      <c r="J76" s="2">
        <f t="shared" si="6"/>
        <v>1259.9237499999997</v>
      </c>
      <c r="K76" s="2">
        <f t="shared" si="7"/>
        <v>1251.9286666666665</v>
      </c>
      <c r="L76" s="2">
        <f t="shared" si="8"/>
        <v>1252.7525806451608</v>
      </c>
      <c r="M76" s="4">
        <f t="shared" si="9"/>
        <v>1.1650055721094196E-2</v>
      </c>
      <c r="N76" s="2" t="str">
        <f>TEXT(Table3[[#This Row],[Date]],"YYYY-MM")</f>
        <v>2025-05</v>
      </c>
      <c r="O76" s="2">
        <f>O75+Table3[[#This Row],[Volume]]</f>
        <v>24830537</v>
      </c>
    </row>
    <row r="77" spans="1:15" x14ac:dyDescent="0.35">
      <c r="A77" s="3" t="s">
        <v>52</v>
      </c>
      <c r="B77" s="2" t="s">
        <v>69</v>
      </c>
      <c r="C77" s="2">
        <v>1236.97</v>
      </c>
      <c r="D77" s="2">
        <v>1248.8599999999999</v>
      </c>
      <c r="E77" s="2">
        <v>1217.27</v>
      </c>
      <c r="F77" s="2">
        <v>1232.79</v>
      </c>
      <c r="G77" s="2">
        <v>1232.76</v>
      </c>
      <c r="H77" s="2">
        <v>478907</v>
      </c>
      <c r="I77" s="2">
        <f t="shared" si="5"/>
        <v>-3.3792250418361509E-3</v>
      </c>
      <c r="J77" s="2">
        <f t="shared" si="6"/>
        <v>1257.3412500000002</v>
      </c>
      <c r="K77" s="2">
        <f t="shared" si="7"/>
        <v>1250.4653333333333</v>
      </c>
      <c r="L77" s="2">
        <f t="shared" si="8"/>
        <v>1252.8229032258062</v>
      </c>
      <c r="M77" s="4">
        <f t="shared" si="9"/>
        <v>2.553821030421103E-2</v>
      </c>
      <c r="N77" s="2" t="str">
        <f>TEXT(Table3[[#This Row],[Date]],"YYYY-MM")</f>
        <v>2025-05</v>
      </c>
      <c r="O77" s="2">
        <f>O76+Table3[[#This Row],[Volume]]</f>
        <v>25309444</v>
      </c>
    </row>
    <row r="78" spans="1:15" x14ac:dyDescent="0.35">
      <c r="A78" s="3" t="s">
        <v>51</v>
      </c>
      <c r="B78" s="2" t="s">
        <v>69</v>
      </c>
      <c r="C78" s="2">
        <v>1256</v>
      </c>
      <c r="D78" s="2">
        <v>1272.75</v>
      </c>
      <c r="E78" s="2">
        <v>1245.05</v>
      </c>
      <c r="F78" s="2">
        <v>1248.05</v>
      </c>
      <c r="G78" s="2">
        <v>1248.54</v>
      </c>
      <c r="H78" s="2">
        <v>364977</v>
      </c>
      <c r="I78" s="2">
        <f t="shared" si="5"/>
        <v>-6.3296178343949403E-3</v>
      </c>
      <c r="J78" s="2">
        <f t="shared" si="6"/>
        <v>1260.0412500000002</v>
      </c>
      <c r="K78" s="2">
        <f t="shared" si="7"/>
        <v>1252.2206666666668</v>
      </c>
      <c r="L78" s="2">
        <f t="shared" si="8"/>
        <v>1253.5516129032255</v>
      </c>
      <c r="M78" s="4">
        <f t="shared" si="9"/>
        <v>2.2054140127388572E-2</v>
      </c>
      <c r="N78" s="2" t="str">
        <f>TEXT(Table3[[#This Row],[Date]],"YYYY-MM")</f>
        <v>2025-05</v>
      </c>
      <c r="O78" s="2">
        <f>O77+Table3[[#This Row],[Volume]]</f>
        <v>25674421</v>
      </c>
    </row>
    <row r="79" spans="1:15" x14ac:dyDescent="0.35">
      <c r="A79" s="3" t="s">
        <v>50</v>
      </c>
      <c r="B79" s="2" t="s">
        <v>69</v>
      </c>
      <c r="C79" s="2">
        <v>1264.58</v>
      </c>
      <c r="D79" s="2">
        <v>1275.46</v>
      </c>
      <c r="E79" s="2">
        <v>1253.02</v>
      </c>
      <c r="F79" s="2">
        <v>1255.45</v>
      </c>
      <c r="G79" s="2">
        <v>1257.07</v>
      </c>
      <c r="H79" s="2">
        <v>395877</v>
      </c>
      <c r="I79" s="2">
        <f t="shared" si="5"/>
        <v>-7.2197883882394809E-3</v>
      </c>
      <c r="J79" s="2">
        <f t="shared" si="6"/>
        <v>1257.4812499999998</v>
      </c>
      <c r="K79" s="2">
        <f t="shared" si="7"/>
        <v>1253.229333333333</v>
      </c>
      <c r="L79" s="2">
        <f t="shared" si="8"/>
        <v>1253.9322580645157</v>
      </c>
      <c r="M79" s="4">
        <f t="shared" si="9"/>
        <v>1.7745022062661164E-2</v>
      </c>
      <c r="N79" s="2" t="str">
        <f>TEXT(Table3[[#This Row],[Date]],"YYYY-MM")</f>
        <v>2025-05</v>
      </c>
      <c r="O79" s="2">
        <f>O78+Table3[[#This Row],[Volume]]</f>
        <v>26070298</v>
      </c>
    </row>
    <row r="80" spans="1:15" x14ac:dyDescent="0.35">
      <c r="A80" s="3" t="s">
        <v>49</v>
      </c>
      <c r="B80" s="2" t="s">
        <v>69</v>
      </c>
      <c r="C80" s="2">
        <v>1268.8900000000001</v>
      </c>
      <c r="D80" s="2">
        <v>1277.08</v>
      </c>
      <c r="E80" s="2">
        <v>1261.8399999999999</v>
      </c>
      <c r="F80" s="2">
        <v>1273.8499999999999</v>
      </c>
      <c r="G80" s="2">
        <v>1271.9100000000001</v>
      </c>
      <c r="H80" s="2">
        <v>198095</v>
      </c>
      <c r="I80" s="2">
        <f t="shared" si="5"/>
        <v>3.9089282758945285E-3</v>
      </c>
      <c r="J80" s="2">
        <f t="shared" si="6"/>
        <v>1256.0912499999999</v>
      </c>
      <c r="K80" s="2">
        <f t="shared" si="7"/>
        <v>1254.8319999999997</v>
      </c>
      <c r="L80" s="2">
        <f t="shared" si="8"/>
        <v>1253.8132258064511</v>
      </c>
      <c r="M80" s="4">
        <f t="shared" si="9"/>
        <v>1.2010497363837691E-2</v>
      </c>
      <c r="N80" s="2" t="str">
        <f>TEXT(Table3[[#This Row],[Date]],"YYYY-MM")</f>
        <v>2025-05</v>
      </c>
      <c r="O80" s="2">
        <f>O79+Table3[[#This Row],[Volume]]</f>
        <v>26268393</v>
      </c>
    </row>
    <row r="81" spans="1:15" x14ac:dyDescent="0.35">
      <c r="A81" s="3" t="s">
        <v>48</v>
      </c>
      <c r="B81" s="2" t="s">
        <v>69</v>
      </c>
      <c r="C81" s="2">
        <v>1274.6099999999999</v>
      </c>
      <c r="D81" s="2">
        <v>1292.76</v>
      </c>
      <c r="E81" s="2">
        <v>1263.56</v>
      </c>
      <c r="F81" s="2">
        <v>1286.94</v>
      </c>
      <c r="G81" s="2">
        <v>1285.48</v>
      </c>
      <c r="H81" s="2">
        <v>284338</v>
      </c>
      <c r="I81" s="2">
        <f t="shared" si="5"/>
        <v>9.6735472026738805E-3</v>
      </c>
      <c r="J81" s="2">
        <f t="shared" si="6"/>
        <v>1253.2424999999998</v>
      </c>
      <c r="K81" s="2">
        <f t="shared" si="7"/>
        <v>1253.6766666666663</v>
      </c>
      <c r="L81" s="2">
        <f t="shared" si="8"/>
        <v>1253.6983870967736</v>
      </c>
      <c r="M81" s="4">
        <f t="shared" si="9"/>
        <v>2.2908968233420455E-2</v>
      </c>
      <c r="N81" s="2" t="str">
        <f>TEXT(Table3[[#This Row],[Date]],"YYYY-MM")</f>
        <v>2025-05</v>
      </c>
      <c r="O81" s="2">
        <f>O80+Table3[[#This Row],[Volume]]</f>
        <v>26552731</v>
      </c>
    </row>
    <row r="82" spans="1:15" x14ac:dyDescent="0.35">
      <c r="A82" s="3" t="s">
        <v>47</v>
      </c>
      <c r="B82" s="2" t="s">
        <v>69</v>
      </c>
      <c r="C82" s="2">
        <v>1256.42</v>
      </c>
      <c r="D82" s="2">
        <v>1273</v>
      </c>
      <c r="E82" s="2">
        <v>1243.6199999999999</v>
      </c>
      <c r="F82" s="2">
        <v>1268.55</v>
      </c>
      <c r="G82" s="2">
        <v>1269.96</v>
      </c>
      <c r="H82" s="2">
        <v>250975</v>
      </c>
      <c r="I82" s="2">
        <f t="shared" si="5"/>
        <v>9.654414924945386E-3</v>
      </c>
      <c r="J82" s="2">
        <f t="shared" si="6"/>
        <v>1248.6374999999998</v>
      </c>
      <c r="K82" s="2">
        <f t="shared" si="7"/>
        <v>1252.1026666666664</v>
      </c>
      <c r="L82" s="2">
        <f t="shared" si="8"/>
        <v>1252.9780645161288</v>
      </c>
      <c r="M82" s="4">
        <f t="shared" si="9"/>
        <v>2.3383900288120301E-2</v>
      </c>
      <c r="N82" s="2" t="str">
        <f>TEXT(Table3[[#This Row],[Date]],"YYYY-MM")</f>
        <v>2025-05</v>
      </c>
      <c r="O82" s="2">
        <f>O81+Table3[[#This Row],[Volume]]</f>
        <v>26803706</v>
      </c>
    </row>
    <row r="83" spans="1:15" x14ac:dyDescent="0.35">
      <c r="A83" s="3" t="s">
        <v>46</v>
      </c>
      <c r="B83" s="2" t="s">
        <v>69</v>
      </c>
      <c r="C83" s="2">
        <v>1261.1199999999999</v>
      </c>
      <c r="D83" s="2">
        <v>1275.3900000000001</v>
      </c>
      <c r="E83" s="2">
        <v>1250.75</v>
      </c>
      <c r="F83" s="2">
        <v>1257.45</v>
      </c>
      <c r="G83" s="2">
        <v>1255.9000000000001</v>
      </c>
      <c r="H83" s="2">
        <v>190066</v>
      </c>
      <c r="I83" s="2">
        <f t="shared" si="5"/>
        <v>-2.9101116467900325E-3</v>
      </c>
      <c r="J83" s="2">
        <f t="shared" si="6"/>
        <v>1244.4299999999998</v>
      </c>
      <c r="K83" s="2">
        <f t="shared" si="7"/>
        <v>1252.1320000000001</v>
      </c>
      <c r="L83" s="2">
        <f t="shared" si="8"/>
        <v>1252.2870967741933</v>
      </c>
      <c r="M83" s="4">
        <f t="shared" si="9"/>
        <v>1.9538188277087115E-2</v>
      </c>
      <c r="N83" s="2" t="str">
        <f>TEXT(Table3[[#This Row],[Date]],"YYYY-MM")</f>
        <v>2025-04</v>
      </c>
      <c r="O83" s="2">
        <f>O82+Table3[[#This Row],[Volume]]</f>
        <v>26993772</v>
      </c>
    </row>
    <row r="84" spans="1:15" x14ac:dyDescent="0.35">
      <c r="A84" s="3" t="s">
        <v>45</v>
      </c>
      <c r="B84" s="2" t="s">
        <v>69</v>
      </c>
      <c r="C84" s="2">
        <v>1250.8699999999999</v>
      </c>
      <c r="D84" s="2">
        <v>1257.81</v>
      </c>
      <c r="E84" s="2">
        <v>1231.56</v>
      </c>
      <c r="F84" s="2">
        <v>1236.69</v>
      </c>
      <c r="G84" s="2">
        <v>1237.1099999999999</v>
      </c>
      <c r="H84" s="2">
        <v>352769</v>
      </c>
      <c r="I84" s="2">
        <f t="shared" si="5"/>
        <v>-1.1336110067392964E-2</v>
      </c>
      <c r="J84" s="2">
        <f t="shared" si="6"/>
        <v>1241.9199999999998</v>
      </c>
      <c r="K84" s="2">
        <f t="shared" si="7"/>
        <v>1251.5753333333334</v>
      </c>
      <c r="L84" s="2">
        <f t="shared" si="8"/>
        <v>1251.9135483870969</v>
      </c>
      <c r="M84" s="4">
        <f t="shared" si="9"/>
        <v>2.0985394165660701E-2</v>
      </c>
      <c r="N84" s="2" t="str">
        <f>TEXT(Table3[[#This Row],[Date]],"YYYY-MM")</f>
        <v>2025-04</v>
      </c>
      <c r="O84" s="2">
        <f>O83+Table3[[#This Row],[Volume]]</f>
        <v>27346541</v>
      </c>
    </row>
    <row r="85" spans="1:15" x14ac:dyDescent="0.35">
      <c r="A85" s="3" t="s">
        <v>44</v>
      </c>
      <c r="B85" s="2" t="s">
        <v>69</v>
      </c>
      <c r="C85" s="2">
        <v>1254.05</v>
      </c>
      <c r="D85" s="2">
        <v>1270.58</v>
      </c>
      <c r="E85" s="2">
        <v>1234.8800000000001</v>
      </c>
      <c r="F85" s="2">
        <v>1252.96</v>
      </c>
      <c r="G85" s="2">
        <v>1254.3599999999999</v>
      </c>
      <c r="H85" s="2">
        <v>230877</v>
      </c>
      <c r="I85" s="2">
        <f t="shared" si="5"/>
        <v>-8.6918384434425916E-4</v>
      </c>
      <c r="J85" s="2">
        <f t="shared" si="6"/>
        <v>1244.6675</v>
      </c>
      <c r="K85" s="2">
        <f t="shared" si="7"/>
        <v>1252.8993333333335</v>
      </c>
      <c r="L85" s="2">
        <f t="shared" si="8"/>
        <v>1253.0251612903226</v>
      </c>
      <c r="M85" s="4">
        <f t="shared" si="9"/>
        <v>2.8467764443203876E-2</v>
      </c>
      <c r="N85" s="2" t="str">
        <f>TEXT(Table3[[#This Row],[Date]],"YYYY-MM")</f>
        <v>2025-04</v>
      </c>
      <c r="O85" s="2">
        <f>O84+Table3[[#This Row],[Volume]]</f>
        <v>27577418</v>
      </c>
    </row>
    <row r="86" spans="1:15" x14ac:dyDescent="0.35">
      <c r="A86" s="3" t="s">
        <v>43</v>
      </c>
      <c r="B86" s="2" t="s">
        <v>69</v>
      </c>
      <c r="C86" s="2">
        <v>1229.48</v>
      </c>
      <c r="D86" s="2">
        <v>1238.58</v>
      </c>
      <c r="E86" s="2">
        <v>1223.6300000000001</v>
      </c>
      <c r="F86" s="2">
        <v>1226.5999999999999</v>
      </c>
      <c r="G86" s="2">
        <v>1228.06</v>
      </c>
      <c r="H86" s="2">
        <v>298813</v>
      </c>
      <c r="I86" s="2">
        <f t="shared" si="5"/>
        <v>-2.3424537202720737E-3</v>
      </c>
      <c r="J86" s="2">
        <f t="shared" si="6"/>
        <v>1245.83125</v>
      </c>
      <c r="K86" s="2">
        <f t="shared" si="7"/>
        <v>1252.5546666666664</v>
      </c>
      <c r="L86" s="2">
        <f t="shared" si="8"/>
        <v>1253.3064516129029</v>
      </c>
      <c r="M86" s="4">
        <f t="shared" si="9"/>
        <v>1.215961219377283E-2</v>
      </c>
      <c r="N86" s="2" t="str">
        <f>TEXT(Table3[[#This Row],[Date]],"YYYY-MM")</f>
        <v>2025-04</v>
      </c>
      <c r="O86" s="2">
        <f>O85+Table3[[#This Row],[Volume]]</f>
        <v>27876231</v>
      </c>
    </row>
    <row r="87" spans="1:15" x14ac:dyDescent="0.35">
      <c r="A87" s="3" t="s">
        <v>42</v>
      </c>
      <c r="B87" s="2" t="s">
        <v>69</v>
      </c>
      <c r="C87" s="2">
        <v>1236.8699999999999</v>
      </c>
      <c r="D87" s="2">
        <v>1256.42</v>
      </c>
      <c r="E87" s="2">
        <v>1219.24</v>
      </c>
      <c r="F87" s="2">
        <v>1244.5999999999999</v>
      </c>
      <c r="G87" s="2">
        <v>1245.95</v>
      </c>
      <c r="H87" s="2">
        <v>117149</v>
      </c>
      <c r="I87" s="2">
        <f t="shared" si="5"/>
        <v>6.2496462845731716E-3</v>
      </c>
      <c r="J87" s="2">
        <f t="shared" si="6"/>
        <v>1252.4625000000001</v>
      </c>
      <c r="K87" s="2">
        <f t="shared" si="7"/>
        <v>1252.9113333333332</v>
      </c>
      <c r="L87" s="2">
        <f t="shared" si="8"/>
        <v>1253.7016129032256</v>
      </c>
      <c r="M87" s="4">
        <f t="shared" si="9"/>
        <v>3.005974758867146E-2</v>
      </c>
      <c r="N87" s="2" t="str">
        <f>TEXT(Table3[[#This Row],[Date]],"YYYY-MM")</f>
        <v>2025-04</v>
      </c>
      <c r="O87" s="2">
        <f>O86+Table3[[#This Row],[Volume]]</f>
        <v>27993380</v>
      </c>
    </row>
    <row r="88" spans="1:15" x14ac:dyDescent="0.35">
      <c r="A88" s="3" t="s">
        <v>41</v>
      </c>
      <c r="B88" s="2" t="s">
        <v>69</v>
      </c>
      <c r="C88" s="2">
        <v>1253.26</v>
      </c>
      <c r="D88" s="2">
        <v>1270.42</v>
      </c>
      <c r="E88" s="2">
        <v>1233.45</v>
      </c>
      <c r="F88" s="2">
        <v>1250.52</v>
      </c>
      <c r="G88" s="2">
        <v>1249.1199999999999</v>
      </c>
      <c r="H88" s="2">
        <v>184015</v>
      </c>
      <c r="I88" s="2">
        <f t="shared" si="5"/>
        <v>-2.1862981344653218E-3</v>
      </c>
      <c r="J88" s="2">
        <f t="shared" si="6"/>
        <v>1253.54125</v>
      </c>
      <c r="K88" s="2">
        <f t="shared" si="7"/>
        <v>1253.174</v>
      </c>
      <c r="L88" s="2">
        <f t="shared" si="8"/>
        <v>1253.9206451612904</v>
      </c>
      <c r="M88" s="4">
        <f t="shared" si="9"/>
        <v>2.9499066434738225E-2</v>
      </c>
      <c r="N88" s="2" t="str">
        <f>TEXT(Table3[[#This Row],[Date]],"YYYY-MM")</f>
        <v>2025-04</v>
      </c>
      <c r="O88" s="2">
        <f>O87+Table3[[#This Row],[Volume]]</f>
        <v>28177395</v>
      </c>
    </row>
    <row r="89" spans="1:15" x14ac:dyDescent="0.35">
      <c r="A89" s="3" t="s">
        <v>40</v>
      </c>
      <c r="B89" s="2" t="s">
        <v>69</v>
      </c>
      <c r="C89" s="2">
        <v>1240.8</v>
      </c>
      <c r="D89" s="2">
        <v>1259.79</v>
      </c>
      <c r="E89" s="2">
        <v>1222.81</v>
      </c>
      <c r="F89" s="2">
        <v>1250.46</v>
      </c>
      <c r="G89" s="2">
        <v>1248.6400000000001</v>
      </c>
      <c r="H89" s="2">
        <v>233458</v>
      </c>
      <c r="I89" s="2">
        <f t="shared" si="5"/>
        <v>7.7852998065764687E-3</v>
      </c>
      <c r="J89" s="2">
        <f t="shared" si="6"/>
        <v>1255.1349999999998</v>
      </c>
      <c r="K89" s="2">
        <f t="shared" si="7"/>
        <v>1253.7346666666665</v>
      </c>
      <c r="L89" s="2">
        <f t="shared" si="8"/>
        <v>1253.76</v>
      </c>
      <c r="M89" s="4">
        <f t="shared" si="9"/>
        <v>2.9803352675693118E-2</v>
      </c>
      <c r="N89" s="2" t="str">
        <f>TEXT(Table3[[#This Row],[Date]],"YYYY-MM")</f>
        <v>2025-04</v>
      </c>
      <c r="O89" s="2">
        <f>O88+Table3[[#This Row],[Volume]]</f>
        <v>28410853</v>
      </c>
    </row>
    <row r="90" spans="1:15" x14ac:dyDescent="0.35">
      <c r="A90" s="3" t="s">
        <v>39</v>
      </c>
      <c r="B90" s="2" t="s">
        <v>69</v>
      </c>
      <c r="C90" s="2">
        <v>1234.8699999999999</v>
      </c>
      <c r="D90" s="2">
        <v>1252.08</v>
      </c>
      <c r="E90" s="2">
        <v>1219.5999999999999</v>
      </c>
      <c r="F90" s="2">
        <v>1237.6500000000001</v>
      </c>
      <c r="G90" s="2">
        <v>1236.3</v>
      </c>
      <c r="H90" s="2">
        <v>495375</v>
      </c>
      <c r="I90" s="2">
        <f t="shared" si="5"/>
        <v>2.2512491193406596E-3</v>
      </c>
      <c r="J90" s="2">
        <f t="shared" si="6"/>
        <v>1257.8549999999998</v>
      </c>
      <c r="K90" s="2">
        <f t="shared" si="7"/>
        <v>1253.4553333333331</v>
      </c>
      <c r="L90" s="2">
        <f t="shared" si="8"/>
        <v>1254.0596774193546</v>
      </c>
      <c r="M90" s="4">
        <f t="shared" si="9"/>
        <v>2.6302363811575323E-2</v>
      </c>
      <c r="N90" s="2" t="str">
        <f>TEXT(Table3[[#This Row],[Date]],"YYYY-MM")</f>
        <v>2025-04</v>
      </c>
      <c r="O90" s="2">
        <f>O89+Table3[[#This Row],[Volume]]</f>
        <v>28906228</v>
      </c>
    </row>
    <row r="91" spans="1:15" x14ac:dyDescent="0.35">
      <c r="A91" s="3" t="s">
        <v>38</v>
      </c>
      <c r="B91" s="2" t="s">
        <v>69</v>
      </c>
      <c r="C91" s="2">
        <v>1232.76</v>
      </c>
      <c r="D91" s="2">
        <v>1246.51</v>
      </c>
      <c r="E91" s="2">
        <v>1226.5899999999999</v>
      </c>
      <c r="F91" s="2">
        <v>1233.92</v>
      </c>
      <c r="G91" s="2">
        <v>1235.82</v>
      </c>
      <c r="H91" s="2">
        <v>161686</v>
      </c>
      <c r="I91" s="2">
        <f t="shared" si="5"/>
        <v>9.4097796813660557E-4</v>
      </c>
      <c r="J91" s="2">
        <f t="shared" si="6"/>
        <v>1259.2612499999998</v>
      </c>
      <c r="K91" s="2">
        <f t="shared" si="7"/>
        <v>1254.9413333333332</v>
      </c>
      <c r="L91" s="2">
        <f t="shared" si="8"/>
        <v>1254.8419354838709</v>
      </c>
      <c r="M91" s="4">
        <f t="shared" si="9"/>
        <v>1.6158863039034421E-2</v>
      </c>
      <c r="N91" s="2" t="str">
        <f>TEXT(Table3[[#This Row],[Date]],"YYYY-MM")</f>
        <v>2025-04</v>
      </c>
      <c r="O91" s="2">
        <f>O90+Table3[[#This Row],[Volume]]</f>
        <v>29067914</v>
      </c>
    </row>
    <row r="92" spans="1:15" x14ac:dyDescent="0.35">
      <c r="A92" s="3" t="s">
        <v>37</v>
      </c>
      <c r="B92" s="2" t="s">
        <v>69</v>
      </c>
      <c r="C92" s="2">
        <v>1252.8900000000001</v>
      </c>
      <c r="D92" s="2">
        <v>1267.19</v>
      </c>
      <c r="E92" s="2">
        <v>1243.73</v>
      </c>
      <c r="F92" s="2">
        <v>1260.3399999999999</v>
      </c>
      <c r="G92" s="2">
        <v>1259.0899999999999</v>
      </c>
      <c r="H92" s="2">
        <v>345956</v>
      </c>
      <c r="I92" s="2">
        <f t="shared" si="5"/>
        <v>5.9462522647637205E-3</v>
      </c>
      <c r="J92" s="2">
        <f t="shared" si="6"/>
        <v>1261.9049999999997</v>
      </c>
      <c r="K92" s="2">
        <f t="shared" si="7"/>
        <v>1254.7053333333331</v>
      </c>
      <c r="L92" s="2">
        <f t="shared" si="8"/>
        <v>1291.42</v>
      </c>
      <c r="M92" s="4">
        <f t="shared" si="9"/>
        <v>1.8724708474008121E-2</v>
      </c>
      <c r="N92" s="2" t="str">
        <f>TEXT(Table3[[#This Row],[Date]],"YYYY-MM")</f>
        <v>2025-04</v>
      </c>
      <c r="O92" s="2">
        <f>O91+Table3[[#This Row],[Volume]]</f>
        <v>29413870</v>
      </c>
    </row>
    <row r="93" spans="1:15" x14ac:dyDescent="0.35">
      <c r="A93" s="3" t="s">
        <v>36</v>
      </c>
      <c r="B93" s="2" t="s">
        <v>69</v>
      </c>
      <c r="C93" s="2">
        <v>1262.72</v>
      </c>
      <c r="D93" s="2">
        <v>1268.4000000000001</v>
      </c>
      <c r="E93" s="2">
        <v>1253.51</v>
      </c>
      <c r="F93" s="2">
        <v>1261.8699999999999</v>
      </c>
      <c r="G93" s="2">
        <v>1263.67</v>
      </c>
      <c r="H93" s="2">
        <v>470110</v>
      </c>
      <c r="I93" s="2">
        <f t="shared" si="5"/>
        <v>-6.7315002534222665E-4</v>
      </c>
      <c r="J93" s="2">
        <f t="shared" si="6"/>
        <v>1260.6675</v>
      </c>
      <c r="K93" s="2">
        <f t="shared" si="7"/>
        <v>1254.7626666666667</v>
      </c>
      <c r="L93" s="2">
        <f t="shared" si="8"/>
        <v>1327.2887096774195</v>
      </c>
      <c r="M93" s="4">
        <f t="shared" si="9"/>
        <v>1.1792004561581427E-2</v>
      </c>
      <c r="N93" s="2" t="str">
        <f>TEXT(Table3[[#This Row],[Date]],"YYYY-MM")</f>
        <v>2025-04</v>
      </c>
      <c r="O93" s="2">
        <f>O92+Table3[[#This Row],[Volume]]</f>
        <v>29883980</v>
      </c>
    </row>
    <row r="94" spans="1:15" x14ac:dyDescent="0.35">
      <c r="A94" s="3" t="s">
        <v>35</v>
      </c>
      <c r="B94" s="2" t="s">
        <v>69</v>
      </c>
      <c r="C94" s="2">
        <v>1276.76</v>
      </c>
      <c r="D94" s="2">
        <v>1292.2</v>
      </c>
      <c r="E94" s="2">
        <v>1264.94</v>
      </c>
      <c r="F94" s="2">
        <v>1280.5999999999999</v>
      </c>
      <c r="G94" s="2">
        <v>1281.1099999999999</v>
      </c>
      <c r="H94" s="2">
        <v>478246</v>
      </c>
      <c r="I94" s="2">
        <f t="shared" si="5"/>
        <v>3.0076130204579705E-3</v>
      </c>
      <c r="J94" s="2">
        <f t="shared" si="6"/>
        <v>1256.885</v>
      </c>
      <c r="K94" s="2">
        <f t="shared" si="7"/>
        <v>1254.2079999999999</v>
      </c>
      <c r="L94" s="2">
        <f t="shared" si="8"/>
        <v>1362.3129032258064</v>
      </c>
      <c r="M94" s="4">
        <f t="shared" si="9"/>
        <v>2.1350919515022392E-2</v>
      </c>
      <c r="N94" s="2" t="str">
        <f>TEXT(Table3[[#This Row],[Date]],"YYYY-MM")</f>
        <v>2025-04</v>
      </c>
      <c r="O94" s="2">
        <f>O93+Table3[[#This Row],[Volume]]</f>
        <v>30362226</v>
      </c>
    </row>
    <row r="95" spans="1:15" x14ac:dyDescent="0.35">
      <c r="A95" s="3" t="s">
        <v>34</v>
      </c>
      <c r="B95" s="2" t="s">
        <v>69</v>
      </c>
      <c r="C95" s="2">
        <v>1256.24</v>
      </c>
      <c r="D95" s="2">
        <v>1262.3499999999999</v>
      </c>
      <c r="E95" s="2">
        <v>1242.93</v>
      </c>
      <c r="F95" s="2">
        <v>1252.7</v>
      </c>
      <c r="G95" s="2">
        <v>1254.58</v>
      </c>
      <c r="H95" s="2">
        <v>346609</v>
      </c>
      <c r="I95" s="2">
        <f t="shared" si="5"/>
        <v>-2.817932879067665E-3</v>
      </c>
      <c r="J95" s="2">
        <f t="shared" si="6"/>
        <v>1252.9824999999998</v>
      </c>
      <c r="K95" s="2">
        <f t="shared" si="7"/>
        <v>1252.8233333333335</v>
      </c>
      <c r="L95" s="2">
        <f t="shared" si="8"/>
        <v>1396.6748387096775</v>
      </c>
      <c r="M95" s="4">
        <f t="shared" si="9"/>
        <v>1.5458829523020955E-2</v>
      </c>
      <c r="N95" s="2" t="str">
        <f>TEXT(Table3[[#This Row],[Date]],"YYYY-MM")</f>
        <v>2025-04</v>
      </c>
      <c r="O95" s="2">
        <f>O94+Table3[[#This Row],[Volume]]</f>
        <v>30708835</v>
      </c>
    </row>
    <row r="96" spans="1:15" x14ac:dyDescent="0.35">
      <c r="A96" s="3" t="s">
        <v>33</v>
      </c>
      <c r="B96" s="2" t="s">
        <v>69</v>
      </c>
      <c r="C96" s="2">
        <v>1250.57</v>
      </c>
      <c r="D96" s="2">
        <v>1270.02</v>
      </c>
      <c r="E96" s="2">
        <v>1245.3900000000001</v>
      </c>
      <c r="F96" s="2">
        <v>1259.99</v>
      </c>
      <c r="G96" s="2">
        <v>1261.8699999999999</v>
      </c>
      <c r="H96" s="2">
        <v>467989</v>
      </c>
      <c r="I96" s="2">
        <f t="shared" si="5"/>
        <v>7.5325651502915255E-3</v>
      </c>
      <c r="J96" s="2">
        <f t="shared" si="6"/>
        <v>1253.3512499999999</v>
      </c>
      <c r="K96" s="2">
        <f t="shared" si="7"/>
        <v>1252.7433333333333</v>
      </c>
      <c r="L96" s="2">
        <f t="shared" si="8"/>
        <v>1432.4851612903226</v>
      </c>
      <c r="M96" s="4">
        <f t="shared" si="9"/>
        <v>1.9695019071303391E-2</v>
      </c>
      <c r="N96" s="2" t="str">
        <f>TEXT(Table3[[#This Row],[Date]],"YYYY-MM")</f>
        <v>2025-04</v>
      </c>
      <c r="O96" s="2">
        <f>O95+Table3[[#This Row],[Volume]]</f>
        <v>31176824</v>
      </c>
    </row>
    <row r="97" spans="1:15" x14ac:dyDescent="0.35">
      <c r="A97" s="3" t="s">
        <v>32</v>
      </c>
      <c r="B97" s="2" t="s">
        <v>69</v>
      </c>
      <c r="C97" s="2">
        <v>1259.19</v>
      </c>
      <c r="D97" s="2">
        <v>1278.6199999999999</v>
      </c>
      <c r="E97" s="2">
        <v>1248.57</v>
      </c>
      <c r="F97" s="2">
        <v>1271.26</v>
      </c>
      <c r="G97" s="2">
        <v>1270.4000000000001</v>
      </c>
      <c r="H97" s="2">
        <v>342333</v>
      </c>
      <c r="I97" s="2">
        <f t="shared" si="5"/>
        <v>9.5855272039961689E-3</v>
      </c>
      <c r="J97" s="2">
        <f t="shared" si="6"/>
        <v>1251.1737500000002</v>
      </c>
      <c r="K97" s="2">
        <f t="shared" si="7"/>
        <v>1253.1753333333334</v>
      </c>
      <c r="L97" s="2">
        <f t="shared" si="8"/>
        <v>1468.4709677419355</v>
      </c>
      <c r="M97" s="4">
        <f t="shared" si="9"/>
        <v>2.3864547844249042E-2</v>
      </c>
      <c r="N97" s="2" t="str">
        <f>TEXT(Table3[[#This Row],[Date]],"YYYY-MM")</f>
        <v>2025-04</v>
      </c>
      <c r="O97" s="2">
        <f>O96+Table3[[#This Row],[Volume]]</f>
        <v>31519157</v>
      </c>
    </row>
    <row r="98" spans="1:15" x14ac:dyDescent="0.35">
      <c r="A98" s="3" t="s">
        <v>31</v>
      </c>
      <c r="B98" s="2" t="s">
        <v>69</v>
      </c>
      <c r="C98" s="2">
        <v>1247.18</v>
      </c>
      <c r="D98" s="2">
        <v>1253.96</v>
      </c>
      <c r="E98" s="2">
        <v>1240.42</v>
      </c>
      <c r="F98" s="2">
        <v>1246.95</v>
      </c>
      <c r="G98" s="2">
        <v>1247.55</v>
      </c>
      <c r="H98" s="2">
        <v>452631</v>
      </c>
      <c r="I98" s="2">
        <f t="shared" si="5"/>
        <v>-1.8441604259210233E-4</v>
      </c>
      <c r="J98" s="2">
        <f t="shared" si="6"/>
        <v>1249.6975</v>
      </c>
      <c r="K98" s="2">
        <f t="shared" si="7"/>
        <v>1252.692</v>
      </c>
      <c r="L98" s="2">
        <f t="shared" si="8"/>
        <v>1503.2977419354838</v>
      </c>
      <c r="M98" s="4">
        <f t="shared" si="9"/>
        <v>1.0856492246508092E-2</v>
      </c>
      <c r="N98" s="2" t="str">
        <f>TEXT(Table3[[#This Row],[Date]],"YYYY-MM")</f>
        <v>2025-04</v>
      </c>
      <c r="O98" s="2">
        <f>O97+Table3[[#This Row],[Volume]]</f>
        <v>31971788</v>
      </c>
    </row>
    <row r="99" spans="1:15" x14ac:dyDescent="0.35">
      <c r="A99" s="3" t="s">
        <v>30</v>
      </c>
      <c r="B99" s="2" t="s">
        <v>69</v>
      </c>
      <c r="C99" s="2">
        <v>1262.58</v>
      </c>
      <c r="D99" s="2">
        <v>1269.25</v>
      </c>
      <c r="E99" s="2">
        <v>1250.19</v>
      </c>
      <c r="F99" s="2">
        <v>1258.92</v>
      </c>
      <c r="G99" s="2">
        <v>1256.97</v>
      </c>
      <c r="H99" s="2">
        <v>407359</v>
      </c>
      <c r="I99" s="2">
        <f t="shared" si="5"/>
        <v>-2.8988262129923288E-3</v>
      </c>
      <c r="J99" s="2">
        <f t="shared" si="6"/>
        <v>1247.7887499999999</v>
      </c>
      <c r="K99" s="2">
        <f t="shared" si="7"/>
        <v>1252.7580000000003</v>
      </c>
      <c r="L99" s="2">
        <f t="shared" si="8"/>
        <v>1539.3945161290324</v>
      </c>
      <c r="M99" s="4">
        <f t="shared" si="9"/>
        <v>1.5096073120119079E-2</v>
      </c>
      <c r="N99" s="2" t="str">
        <f>TEXT(Table3[[#This Row],[Date]],"YYYY-MM")</f>
        <v>2025-04</v>
      </c>
      <c r="O99" s="2">
        <f>O98+Table3[[#This Row],[Volume]]</f>
        <v>32379147</v>
      </c>
    </row>
    <row r="100" spans="1:15" x14ac:dyDescent="0.35">
      <c r="A100" s="3" t="s">
        <v>29</v>
      </c>
      <c r="B100" s="2" t="s">
        <v>69</v>
      </c>
      <c r="C100" s="2">
        <v>1247.3599999999999</v>
      </c>
      <c r="D100" s="2">
        <v>1253.6099999999999</v>
      </c>
      <c r="E100" s="2">
        <v>1230.7</v>
      </c>
      <c r="F100" s="2">
        <v>1248.96</v>
      </c>
      <c r="G100" s="2">
        <v>1249.19</v>
      </c>
      <c r="H100" s="2">
        <v>276615</v>
      </c>
      <c r="I100" s="2">
        <f t="shared" si="5"/>
        <v>1.2827090815804071E-3</v>
      </c>
      <c r="J100" s="2">
        <f t="shared" si="6"/>
        <v>1248.1612500000001</v>
      </c>
      <c r="K100" s="2">
        <f t="shared" si="7"/>
        <v>1251.9146666666668</v>
      </c>
      <c r="L100" s="2">
        <f t="shared" si="8"/>
        <v>1575.0835483870972</v>
      </c>
      <c r="M100" s="4">
        <f t="shared" si="9"/>
        <v>1.8366790661877772E-2</v>
      </c>
      <c r="N100" s="2" t="str">
        <f>TEXT(Table3[[#This Row],[Date]],"YYYY-MM")</f>
        <v>2025-04</v>
      </c>
      <c r="O100" s="2">
        <f>O99+Table3[[#This Row],[Volume]]</f>
        <v>32655762</v>
      </c>
    </row>
    <row r="101" spans="1:15" x14ac:dyDescent="0.35">
      <c r="A101" s="3" t="s">
        <v>28</v>
      </c>
      <c r="B101" s="2" t="s">
        <v>69</v>
      </c>
      <c r="C101" s="2">
        <v>1239.52</v>
      </c>
      <c r="D101" s="2">
        <v>1256.71</v>
      </c>
      <c r="E101" s="2">
        <v>1220.31</v>
      </c>
      <c r="F101" s="2">
        <v>1231.47</v>
      </c>
      <c r="G101" s="2">
        <v>1233.4100000000001</v>
      </c>
      <c r="H101" s="2">
        <v>266467</v>
      </c>
      <c r="I101" s="2">
        <f t="shared" si="5"/>
        <v>-6.494449464308728E-3</v>
      </c>
      <c r="J101" s="2">
        <f t="shared" si="6"/>
        <v>1248.9312500000001</v>
      </c>
      <c r="K101" s="2">
        <f t="shared" si="7"/>
        <v>1253.4066666666668</v>
      </c>
      <c r="L101" s="2">
        <f t="shared" si="8"/>
        <v>1611.8554838709681</v>
      </c>
      <c r="M101" s="4">
        <f t="shared" si="9"/>
        <v>2.9366206273396228E-2</v>
      </c>
      <c r="N101" s="2" t="str">
        <f>TEXT(Table3[[#This Row],[Date]],"YYYY-MM")</f>
        <v>2025-04</v>
      </c>
      <c r="O101" s="2">
        <f>O100+Table3[[#This Row],[Volume]]</f>
        <v>32922229</v>
      </c>
    </row>
    <row r="102" spans="1:15" x14ac:dyDescent="0.35">
      <c r="A102" s="3" t="s">
        <v>27</v>
      </c>
      <c r="B102" s="2" t="s">
        <v>69</v>
      </c>
      <c r="C102" s="2">
        <v>1249.67</v>
      </c>
      <c r="D102" s="2">
        <v>1267</v>
      </c>
      <c r="E102" s="2">
        <v>1234.08</v>
      </c>
      <c r="F102" s="2">
        <v>1251.56</v>
      </c>
      <c r="G102" s="2">
        <v>1249.8900000000001</v>
      </c>
      <c r="H102" s="2">
        <v>377197</v>
      </c>
      <c r="I102" s="2">
        <f t="shared" si="5"/>
        <v>1.5123992734080779E-3</v>
      </c>
      <c r="J102" s="2">
        <f t="shared" si="6"/>
        <v>1252.2974999999999</v>
      </c>
      <c r="K102" s="2">
        <f t="shared" si="7"/>
        <v>1255.3846666666664</v>
      </c>
      <c r="L102" s="2">
        <f t="shared" si="8"/>
        <v>1647.7880645161292</v>
      </c>
      <c r="M102" s="4">
        <f t="shared" si="9"/>
        <v>2.6342954539998617E-2</v>
      </c>
      <c r="N102" s="2" t="str">
        <f>TEXT(Table3[[#This Row],[Date]],"YYYY-MM")</f>
        <v>2025-04</v>
      </c>
      <c r="O102" s="2">
        <f>O101+Table3[[#This Row],[Volume]]</f>
        <v>33299426</v>
      </c>
    </row>
    <row r="103" spans="1:15" x14ac:dyDescent="0.35">
      <c r="A103" s="3" t="s">
        <v>26</v>
      </c>
      <c r="B103" s="2" t="s">
        <v>69</v>
      </c>
      <c r="C103" s="2">
        <v>1258.1300000000001</v>
      </c>
      <c r="D103" s="2">
        <v>1272.4000000000001</v>
      </c>
      <c r="E103" s="2">
        <v>1251.6099999999999</v>
      </c>
      <c r="F103" s="2">
        <v>1259.19</v>
      </c>
      <c r="G103" s="2">
        <v>1257.53</v>
      </c>
      <c r="H103" s="2">
        <v>111487</v>
      </c>
      <c r="I103" s="2">
        <f t="shared" si="5"/>
        <v>8.4252024830498067E-4</v>
      </c>
      <c r="J103" s="2">
        <f t="shared" si="6"/>
        <v>1252.7337499999999</v>
      </c>
      <c r="K103" s="2">
        <f t="shared" si="7"/>
        <v>1254.7459999999999</v>
      </c>
      <c r="L103" s="2">
        <f t="shared" si="8"/>
        <v>1683.7080645161293</v>
      </c>
      <c r="M103" s="4">
        <f t="shared" si="9"/>
        <v>1.6524524492699633E-2</v>
      </c>
      <c r="N103" s="2" t="str">
        <f>TEXT(Table3[[#This Row],[Date]],"YYYY-MM")</f>
        <v>2025-04</v>
      </c>
      <c r="O103" s="2">
        <f>O102+Table3[[#This Row],[Volume]]</f>
        <v>33410913</v>
      </c>
    </row>
    <row r="104" spans="1:15" x14ac:dyDescent="0.35">
      <c r="A104" s="3" t="s">
        <v>25</v>
      </c>
      <c r="B104" s="2" t="s">
        <v>69</v>
      </c>
      <c r="C104" s="2">
        <v>1233.0999999999999</v>
      </c>
      <c r="D104" s="2">
        <v>1251.42</v>
      </c>
      <c r="E104" s="2">
        <v>1222.8399999999999</v>
      </c>
      <c r="F104" s="2">
        <v>1245.98</v>
      </c>
      <c r="G104" s="2">
        <v>1244.45</v>
      </c>
      <c r="H104" s="2">
        <v>154940</v>
      </c>
      <c r="I104" s="2">
        <f t="shared" si="5"/>
        <v>1.0445219365826056E-2</v>
      </c>
      <c r="J104" s="2">
        <f t="shared" si="6"/>
        <v>1254.0862500000001</v>
      </c>
      <c r="K104" s="2">
        <f t="shared" si="7"/>
        <v>1254.4266666666667</v>
      </c>
      <c r="L104" s="2">
        <f t="shared" si="8"/>
        <v>1719.0990322580649</v>
      </c>
      <c r="M104" s="4">
        <f t="shared" si="9"/>
        <v>2.3177357878517685E-2</v>
      </c>
      <c r="N104" s="2" t="str">
        <f>TEXT(Table3[[#This Row],[Date]],"YYYY-MM")</f>
        <v>2025-04</v>
      </c>
      <c r="O104" s="2">
        <f>O103+Table3[[#This Row],[Volume]]</f>
        <v>33565853</v>
      </c>
    </row>
    <row r="105" spans="1:15" x14ac:dyDescent="0.35">
      <c r="A105" s="3" t="s">
        <v>24</v>
      </c>
      <c r="B105" s="2" t="s">
        <v>69</v>
      </c>
      <c r="C105" s="2">
        <v>1260.24</v>
      </c>
      <c r="D105" s="2">
        <v>1266.6099999999999</v>
      </c>
      <c r="E105" s="2">
        <v>1247.82</v>
      </c>
      <c r="F105" s="2">
        <v>1260.3599999999999</v>
      </c>
      <c r="G105" s="2">
        <v>1258.5899999999999</v>
      </c>
      <c r="H105" s="2">
        <v>402940</v>
      </c>
      <c r="I105" s="2">
        <f t="shared" si="5"/>
        <v>9.5219958103131836E-5</v>
      </c>
      <c r="J105" s="2">
        <f t="shared" si="6"/>
        <v>1256.4237499999999</v>
      </c>
      <c r="K105" s="2">
        <f t="shared" si="7"/>
        <v>1254.4059999999999</v>
      </c>
      <c r="L105" s="2">
        <f t="shared" si="8"/>
        <v>1755.75</v>
      </c>
      <c r="M105" s="4">
        <f t="shared" si="9"/>
        <v>1.4909858439662258E-2</v>
      </c>
      <c r="N105" s="2" t="str">
        <f>TEXT(Table3[[#This Row],[Date]],"YYYY-MM")</f>
        <v>2025-03</v>
      </c>
      <c r="O105" s="2">
        <f>O104+Table3[[#This Row],[Volume]]</f>
        <v>33968793</v>
      </c>
    </row>
    <row r="106" spans="1:15" x14ac:dyDescent="0.35">
      <c r="A106" s="3" t="s">
        <v>23</v>
      </c>
      <c r="B106" s="2" t="s">
        <v>69</v>
      </c>
      <c r="C106" s="2">
        <v>1236.08</v>
      </c>
      <c r="D106" s="2">
        <v>1246.01</v>
      </c>
      <c r="E106" s="2">
        <v>1220.99</v>
      </c>
      <c r="F106" s="2">
        <v>1231.27</v>
      </c>
      <c r="G106" s="2">
        <v>1232.28</v>
      </c>
      <c r="H106" s="2">
        <v>116800</v>
      </c>
      <c r="I106" s="2">
        <f t="shared" si="5"/>
        <v>-3.8913338942462832E-3</v>
      </c>
      <c r="J106" s="2">
        <f t="shared" si="6"/>
        <v>1255.1675</v>
      </c>
      <c r="K106" s="2">
        <f t="shared" si="7"/>
        <v>1254.3620000000001</v>
      </c>
      <c r="L106" s="2">
        <f t="shared" si="8"/>
        <v>1790.8029032258066</v>
      </c>
      <c r="M106" s="4">
        <f t="shared" si="9"/>
        <v>2.0241408323085869E-2</v>
      </c>
      <c r="N106" s="2" t="str">
        <f>TEXT(Table3[[#This Row],[Date]],"YYYY-MM")</f>
        <v>2025-03</v>
      </c>
      <c r="O106" s="2">
        <f>O105+Table3[[#This Row],[Volume]]</f>
        <v>34085593</v>
      </c>
    </row>
    <row r="107" spans="1:15" x14ac:dyDescent="0.35">
      <c r="A107" s="3" t="s">
        <v>22</v>
      </c>
      <c r="B107" s="2" t="s">
        <v>69</v>
      </c>
      <c r="C107" s="2">
        <v>1257.24</v>
      </c>
      <c r="D107" s="2">
        <v>1276.5</v>
      </c>
      <c r="E107" s="2">
        <v>1243.6400000000001</v>
      </c>
      <c r="F107" s="2">
        <v>1259.42</v>
      </c>
      <c r="G107" s="2">
        <v>1259.95</v>
      </c>
      <c r="H107" s="2">
        <v>150935</v>
      </c>
      <c r="I107" s="2">
        <f t="shared" si="5"/>
        <v>1.7339569215106612E-3</v>
      </c>
      <c r="J107" s="2">
        <f t="shared" si="6"/>
        <v>1256.6725000000001</v>
      </c>
      <c r="K107" s="2">
        <f t="shared" si="7"/>
        <v>1256.2466666666664</v>
      </c>
      <c r="L107" s="2">
        <f t="shared" si="8"/>
        <v>1828.0254838709679</v>
      </c>
      <c r="M107" s="4">
        <f t="shared" si="9"/>
        <v>2.6136616715980956E-2</v>
      </c>
      <c r="N107" s="2" t="str">
        <f>TEXT(Table3[[#This Row],[Date]],"YYYY-MM")</f>
        <v>2025-03</v>
      </c>
      <c r="O107" s="2">
        <f>O106+Table3[[#This Row],[Volume]]</f>
        <v>34236528</v>
      </c>
    </row>
    <row r="108" spans="1:15" x14ac:dyDescent="0.35">
      <c r="A108" s="3" t="s">
        <v>21</v>
      </c>
      <c r="B108" s="2" t="s">
        <v>69</v>
      </c>
      <c r="C108" s="2">
        <v>1248.77</v>
      </c>
      <c r="D108" s="2">
        <v>1267.2</v>
      </c>
      <c r="E108" s="2">
        <v>1237.93</v>
      </c>
      <c r="F108" s="2">
        <v>1257.31</v>
      </c>
      <c r="G108" s="2">
        <v>1255.3499999999999</v>
      </c>
      <c r="H108" s="2">
        <v>101039</v>
      </c>
      <c r="I108" s="2">
        <f t="shared" si="5"/>
        <v>6.8387293096406577E-3</v>
      </c>
      <c r="J108" s="2">
        <f t="shared" si="6"/>
        <v>1258.125</v>
      </c>
      <c r="K108" s="2">
        <f t="shared" si="7"/>
        <v>1330.2326666666665</v>
      </c>
      <c r="L108" s="2">
        <f t="shared" si="8"/>
        <v>1864.4558064516134</v>
      </c>
      <c r="M108" s="4">
        <f t="shared" si="9"/>
        <v>2.3439064039014378E-2</v>
      </c>
      <c r="N108" s="2" t="str">
        <f>TEXT(Table3[[#This Row],[Date]],"YYYY-MM")</f>
        <v>2025-03</v>
      </c>
      <c r="O108" s="2">
        <f>O107+Table3[[#This Row],[Volume]]</f>
        <v>34337567</v>
      </c>
    </row>
    <row r="109" spans="1:15" x14ac:dyDescent="0.35">
      <c r="A109" s="3" t="s">
        <v>20</v>
      </c>
      <c r="B109" s="2" t="s">
        <v>69</v>
      </c>
      <c r="C109" s="2">
        <v>1262.25</v>
      </c>
      <c r="D109" s="2">
        <v>1268.8</v>
      </c>
      <c r="E109" s="2">
        <v>1243.71</v>
      </c>
      <c r="F109" s="2">
        <v>1260.32</v>
      </c>
      <c r="G109" s="2">
        <v>1260.3399999999999</v>
      </c>
      <c r="H109" s="2">
        <v>286504</v>
      </c>
      <c r="I109" s="2">
        <f t="shared" si="5"/>
        <v>-1.529015646662756E-3</v>
      </c>
      <c r="J109" s="2">
        <f t="shared" si="6"/>
        <v>1259.0912499999999</v>
      </c>
      <c r="K109" s="2">
        <f t="shared" si="7"/>
        <v>1404.6106666666667</v>
      </c>
      <c r="L109" s="2">
        <f t="shared" si="8"/>
        <v>1900.5541935483877</v>
      </c>
      <c r="M109" s="4">
        <f t="shared" si="9"/>
        <v>1.9877203406615106E-2</v>
      </c>
      <c r="N109" s="2" t="str">
        <f>TEXT(Table3[[#This Row],[Date]],"YYYY-MM")</f>
        <v>2025-03</v>
      </c>
      <c r="O109" s="2">
        <f>O108+Table3[[#This Row],[Volume]]</f>
        <v>34624071</v>
      </c>
    </row>
    <row r="110" spans="1:15" x14ac:dyDescent="0.35">
      <c r="A110" s="3" t="s">
        <v>19</v>
      </c>
      <c r="B110" s="2" t="s">
        <v>69</v>
      </c>
      <c r="C110" s="2">
        <v>1247.31</v>
      </c>
      <c r="D110" s="2">
        <v>1266.27</v>
      </c>
      <c r="E110" s="2">
        <v>1229.43</v>
      </c>
      <c r="F110" s="2">
        <v>1253.6600000000001</v>
      </c>
      <c r="G110" s="2">
        <v>1253.3800000000001</v>
      </c>
      <c r="H110" s="2">
        <v>256143</v>
      </c>
      <c r="I110" s="2">
        <f t="shared" si="5"/>
        <v>5.0909557367455859E-3</v>
      </c>
      <c r="J110" s="2">
        <f t="shared" si="6"/>
        <v>1256.5874999999999</v>
      </c>
      <c r="K110" s="2">
        <f t="shared" si="7"/>
        <v>1477.2159999999999</v>
      </c>
      <c r="L110" s="2">
        <f t="shared" si="8"/>
        <v>1936.1283870967745</v>
      </c>
      <c r="M110" s="4">
        <f t="shared" si="9"/>
        <v>2.9535560526252429E-2</v>
      </c>
      <c r="N110" s="2" t="str">
        <f>TEXT(Table3[[#This Row],[Date]],"YYYY-MM")</f>
        <v>2025-03</v>
      </c>
      <c r="O110" s="2">
        <f>O109+Table3[[#This Row],[Volume]]</f>
        <v>34880214</v>
      </c>
    </row>
    <row r="111" spans="1:15" x14ac:dyDescent="0.35">
      <c r="A111" s="3" t="s">
        <v>18</v>
      </c>
      <c r="B111" s="2" t="s">
        <v>69</v>
      </c>
      <c r="C111" s="2">
        <v>1261.47</v>
      </c>
      <c r="D111" s="2">
        <v>1281.33</v>
      </c>
      <c r="E111" s="2">
        <v>1250.28</v>
      </c>
      <c r="F111" s="2">
        <v>1268.8599999999999</v>
      </c>
      <c r="G111" s="2">
        <v>1268.3499999999999</v>
      </c>
      <c r="H111" s="2">
        <v>420650</v>
      </c>
      <c r="I111" s="2">
        <f t="shared" si="5"/>
        <v>5.8582447462086872E-3</v>
      </c>
      <c r="J111" s="2">
        <f t="shared" si="6"/>
        <v>1256.5074999999999</v>
      </c>
      <c r="K111" s="2">
        <f t="shared" si="7"/>
        <v>1550.0793333333336</v>
      </c>
      <c r="L111" s="2">
        <f t="shared" si="8"/>
        <v>1972.0822580645163</v>
      </c>
      <c r="M111" s="4">
        <f t="shared" si="9"/>
        <v>2.4614140645437429E-2</v>
      </c>
      <c r="N111" s="2" t="str">
        <f>TEXT(Table3[[#This Row],[Date]],"YYYY-MM")</f>
        <v>2025-03</v>
      </c>
      <c r="O111" s="2">
        <f>O110+Table3[[#This Row],[Volume]]</f>
        <v>35300864</v>
      </c>
    </row>
    <row r="112" spans="1:15" x14ac:dyDescent="0.35">
      <c r="A112" s="3" t="s">
        <v>17</v>
      </c>
      <c r="B112" s="2" t="s">
        <v>69</v>
      </c>
      <c r="C112" s="2">
        <v>1257.6199999999999</v>
      </c>
      <c r="D112" s="2">
        <v>1274.67</v>
      </c>
      <c r="E112" s="2">
        <v>1248.3900000000001</v>
      </c>
      <c r="F112" s="2">
        <v>1264.44</v>
      </c>
      <c r="G112" s="2">
        <v>1263.1500000000001</v>
      </c>
      <c r="H112" s="2">
        <v>312666</v>
      </c>
      <c r="I112" s="2">
        <f t="shared" si="5"/>
        <v>5.4229417471097505E-3</v>
      </c>
      <c r="J112" s="2">
        <f t="shared" si="6"/>
        <v>1253.4812499999998</v>
      </c>
      <c r="K112" s="2">
        <f t="shared" si="7"/>
        <v>1623.169333333333</v>
      </c>
      <c r="L112" s="2">
        <f t="shared" si="8"/>
        <v>2007.9432258064514</v>
      </c>
      <c r="M112" s="4">
        <f t="shared" si="9"/>
        <v>2.0896614239595407E-2</v>
      </c>
      <c r="N112" s="2" t="str">
        <f>TEXT(Table3[[#This Row],[Date]],"YYYY-MM")</f>
        <v>2025-03</v>
      </c>
      <c r="O112" s="2">
        <f>O111+Table3[[#This Row],[Volume]]</f>
        <v>35613530</v>
      </c>
    </row>
    <row r="113" spans="1:15" x14ac:dyDescent="0.35">
      <c r="A113" s="3" t="s">
        <v>16</v>
      </c>
      <c r="B113" s="2" t="s">
        <v>69</v>
      </c>
      <c r="C113" s="2">
        <v>1248.1099999999999</v>
      </c>
      <c r="D113" s="2">
        <v>1254.8800000000001</v>
      </c>
      <c r="E113" s="2">
        <v>1232.6600000000001</v>
      </c>
      <c r="F113" s="2">
        <v>1248.02</v>
      </c>
      <c r="G113" s="2">
        <v>1248.54</v>
      </c>
      <c r="H113" s="2">
        <v>110013</v>
      </c>
      <c r="I113" s="2">
        <f t="shared" si="5"/>
        <v>-7.2109028851558075E-5</v>
      </c>
      <c r="J113" s="2">
        <f t="shared" si="6"/>
        <v>1252.8287499999999</v>
      </c>
      <c r="K113" s="2">
        <f t="shared" si="7"/>
        <v>1697.454666666667</v>
      </c>
      <c r="L113" s="2">
        <f t="shared" si="8"/>
        <v>2043.591612903226</v>
      </c>
      <c r="M113" s="4">
        <f t="shared" si="9"/>
        <v>1.7802918012034218E-2</v>
      </c>
      <c r="N113" s="2" t="str">
        <f>TEXT(Table3[[#This Row],[Date]],"YYYY-MM")</f>
        <v>2025-03</v>
      </c>
      <c r="O113" s="2">
        <f>O112+Table3[[#This Row],[Volume]]</f>
        <v>35723543</v>
      </c>
    </row>
    <row r="114" spans="1:15" x14ac:dyDescent="0.35">
      <c r="A114" s="3" t="s">
        <v>15</v>
      </c>
      <c r="B114" s="2" t="s">
        <v>69</v>
      </c>
      <c r="C114" s="2">
        <v>1249.1400000000001</v>
      </c>
      <c r="D114" s="2">
        <v>1258.92</v>
      </c>
      <c r="E114" s="2">
        <v>1231.47</v>
      </c>
      <c r="F114" s="2">
        <v>1246.23</v>
      </c>
      <c r="G114" s="2">
        <v>1244.32</v>
      </c>
      <c r="H114" s="2">
        <v>421733</v>
      </c>
      <c r="I114" s="2">
        <f t="shared" si="5"/>
        <v>-2.3296027667035575E-3</v>
      </c>
      <c r="J114" s="2">
        <f t="shared" si="6"/>
        <v>1254.33</v>
      </c>
      <c r="K114" s="2">
        <f t="shared" si="7"/>
        <v>1770.8873333333333</v>
      </c>
      <c r="L114" s="2">
        <f t="shared" si="8"/>
        <v>2079.4306451612906</v>
      </c>
      <c r="M114" s="4">
        <f t="shared" si="9"/>
        <v>2.1975118881790708E-2</v>
      </c>
      <c r="N114" s="2" t="str">
        <f>TEXT(Table3[[#This Row],[Date]],"YYYY-MM")</f>
        <v>2025-03</v>
      </c>
      <c r="O114" s="2">
        <f>O113+Table3[[#This Row],[Volume]]</f>
        <v>36145276</v>
      </c>
    </row>
    <row r="115" spans="1:15" x14ac:dyDescent="0.35">
      <c r="A115" s="3" t="s">
        <v>14</v>
      </c>
      <c r="B115" s="2" t="s">
        <v>69</v>
      </c>
      <c r="C115" s="2">
        <v>1275.33</v>
      </c>
      <c r="D115" s="2">
        <v>1294.45</v>
      </c>
      <c r="E115" s="2">
        <v>1264.54</v>
      </c>
      <c r="F115" s="2">
        <v>1269.73</v>
      </c>
      <c r="G115" s="2">
        <v>1271.57</v>
      </c>
      <c r="H115" s="2">
        <v>277740</v>
      </c>
      <c r="I115" s="2">
        <f t="shared" si="5"/>
        <v>-4.3910203633568644E-3</v>
      </c>
      <c r="J115" s="2">
        <f t="shared" si="6"/>
        <v>1395.0074999999999</v>
      </c>
      <c r="K115" s="2">
        <f t="shared" si="7"/>
        <v>1845.7026666666668</v>
      </c>
      <c r="L115" s="2">
        <f t="shared" si="8"/>
        <v>2115.3587096774195</v>
      </c>
      <c r="M115" s="4">
        <f t="shared" si="9"/>
        <v>2.3452753405001123E-2</v>
      </c>
      <c r="N115" s="2" t="str">
        <f>TEXT(Table3[[#This Row],[Date]],"YYYY-MM")</f>
        <v>2025-03</v>
      </c>
      <c r="O115" s="2">
        <f>O114+Table3[[#This Row],[Volume]]</f>
        <v>36423016</v>
      </c>
    </row>
    <row r="116" spans="1:15" x14ac:dyDescent="0.35">
      <c r="A116" s="3" t="s">
        <v>13</v>
      </c>
      <c r="B116" s="2" t="s">
        <v>69</v>
      </c>
      <c r="C116" s="2">
        <v>1260.47</v>
      </c>
      <c r="D116" s="2">
        <v>1274.0999999999999</v>
      </c>
      <c r="E116" s="2">
        <v>1249.6500000000001</v>
      </c>
      <c r="F116" s="2">
        <v>1262.51</v>
      </c>
      <c r="G116" s="2">
        <v>1263.08</v>
      </c>
      <c r="H116" s="2">
        <v>188539</v>
      </c>
      <c r="I116" s="2">
        <f t="shared" si="5"/>
        <v>1.6184439137781649E-3</v>
      </c>
      <c r="J116" s="2">
        <f t="shared" si="6"/>
        <v>1532.4387500000003</v>
      </c>
      <c r="K116" s="2">
        <f t="shared" si="7"/>
        <v>1918.4866666666669</v>
      </c>
      <c r="L116" s="2">
        <f t="shared" si="8"/>
        <v>2150.3764516129036</v>
      </c>
      <c r="M116" s="4">
        <f t="shared" si="9"/>
        <v>1.9397526319547324E-2</v>
      </c>
      <c r="N116" s="2" t="str">
        <f>TEXT(Table3[[#This Row],[Date]],"YYYY-MM")</f>
        <v>2025-03</v>
      </c>
      <c r="O116" s="2">
        <f>O115+Table3[[#This Row],[Volume]]</f>
        <v>36611555</v>
      </c>
    </row>
    <row r="117" spans="1:15" x14ac:dyDescent="0.35">
      <c r="A117" s="3" t="s">
        <v>12</v>
      </c>
      <c r="B117" s="2" t="s">
        <v>69</v>
      </c>
      <c r="C117" s="2">
        <v>1244.18</v>
      </c>
      <c r="D117" s="2">
        <v>1250.24</v>
      </c>
      <c r="E117" s="2">
        <v>1229.54</v>
      </c>
      <c r="F117" s="2">
        <v>1242.2</v>
      </c>
      <c r="G117" s="2">
        <v>1240.31</v>
      </c>
      <c r="H117" s="2">
        <v>180880</v>
      </c>
      <c r="I117" s="2">
        <f t="shared" si="5"/>
        <v>-1.5914096031121043E-3</v>
      </c>
      <c r="J117" s="2">
        <f t="shared" si="6"/>
        <v>1668.23125</v>
      </c>
      <c r="K117" s="2">
        <f t="shared" si="7"/>
        <v>1993.556</v>
      </c>
      <c r="L117" s="2">
        <f t="shared" si="8"/>
        <v>2185.8483870967743</v>
      </c>
      <c r="M117" s="4">
        <f t="shared" si="9"/>
        <v>1.6637464032535521E-2</v>
      </c>
      <c r="N117" s="2" t="str">
        <f>TEXT(Table3[[#This Row],[Date]],"YYYY-MM")</f>
        <v>2025-03</v>
      </c>
      <c r="O117" s="2">
        <f>O116+Table3[[#This Row],[Volume]]</f>
        <v>36792435</v>
      </c>
    </row>
    <row r="118" spans="1:15" x14ac:dyDescent="0.35">
      <c r="A118" s="3" t="s">
        <v>11</v>
      </c>
      <c r="B118" s="2" t="s">
        <v>69</v>
      </c>
      <c r="C118" s="2">
        <v>1252.72</v>
      </c>
      <c r="D118" s="2">
        <v>1267.1099999999999</v>
      </c>
      <c r="E118" s="2">
        <v>1240.17</v>
      </c>
      <c r="F118" s="2">
        <v>1251.31</v>
      </c>
      <c r="G118" s="2">
        <v>1252.74</v>
      </c>
      <c r="H118" s="2">
        <v>474764</v>
      </c>
      <c r="I118" s="2">
        <f t="shared" si="5"/>
        <v>-1.1255508014560969E-3</v>
      </c>
      <c r="J118" s="2">
        <f t="shared" si="6"/>
        <v>1806.4837500000001</v>
      </c>
      <c r="K118" s="2">
        <f t="shared" si="7"/>
        <v>2067.3566666666661</v>
      </c>
      <c r="L118" s="2">
        <f t="shared" si="8"/>
        <v>2222.4761290322585</v>
      </c>
      <c r="M118" s="4">
        <f t="shared" si="9"/>
        <v>2.1505204674627871E-2</v>
      </c>
      <c r="N118" s="2" t="str">
        <f>TEXT(Table3[[#This Row],[Date]],"YYYY-MM")</f>
        <v>2025-03</v>
      </c>
      <c r="O118" s="2">
        <f>O117+Table3[[#This Row],[Volume]]</f>
        <v>37267199</v>
      </c>
    </row>
    <row r="119" spans="1:15" x14ac:dyDescent="0.35">
      <c r="A119" s="3" t="s">
        <v>10</v>
      </c>
      <c r="B119" s="2" t="s">
        <v>69</v>
      </c>
      <c r="C119" s="2">
        <v>1251.47</v>
      </c>
      <c r="D119" s="2">
        <v>1262.45</v>
      </c>
      <c r="E119" s="2">
        <v>1237.23</v>
      </c>
      <c r="F119" s="2">
        <v>1243.5999999999999</v>
      </c>
      <c r="G119" s="2">
        <v>1244.1400000000001</v>
      </c>
      <c r="H119" s="2">
        <v>250957</v>
      </c>
      <c r="I119" s="2">
        <f t="shared" si="5"/>
        <v>-6.2886046009893309E-3</v>
      </c>
      <c r="J119" s="2">
        <f t="shared" si="6"/>
        <v>1945.4787499999998</v>
      </c>
      <c r="K119" s="2">
        <f t="shared" si="7"/>
        <v>2141.4013333333332</v>
      </c>
      <c r="L119" s="2">
        <f t="shared" si="8"/>
        <v>2258.1593548387095</v>
      </c>
      <c r="M119" s="4">
        <f t="shared" si="9"/>
        <v>2.0152300894148503E-2</v>
      </c>
      <c r="N119" s="2" t="str">
        <f>TEXT(Table3[[#This Row],[Date]],"YYYY-MM")</f>
        <v>2025-03</v>
      </c>
      <c r="O119" s="2">
        <f>O118+Table3[[#This Row],[Volume]]</f>
        <v>37518156</v>
      </c>
    </row>
    <row r="120" spans="1:15" x14ac:dyDescent="0.35">
      <c r="A120" s="3" t="s">
        <v>9</v>
      </c>
      <c r="B120" s="2" t="s">
        <v>69</v>
      </c>
      <c r="C120" s="2">
        <v>1251.6300000000001</v>
      </c>
      <c r="D120" s="2">
        <v>1258.0999999999999</v>
      </c>
      <c r="E120" s="2">
        <v>1239.26</v>
      </c>
      <c r="F120" s="2">
        <v>1258.04</v>
      </c>
      <c r="G120" s="2">
        <v>1257.93</v>
      </c>
      <c r="H120" s="2">
        <v>165944</v>
      </c>
      <c r="I120" s="2">
        <f t="shared" si="5"/>
        <v>5.1213217963774066E-3</v>
      </c>
      <c r="J120" s="2">
        <f t="shared" si="6"/>
        <v>2087.14</v>
      </c>
      <c r="K120" s="2">
        <f t="shared" si="7"/>
        <v>2215.4353333333333</v>
      </c>
      <c r="L120" s="2">
        <f t="shared" si="8"/>
        <v>2294.6283870967741</v>
      </c>
      <c r="M120" s="4">
        <f t="shared" si="9"/>
        <v>1.5052371707293623E-2</v>
      </c>
      <c r="N120" s="2" t="str">
        <f>TEXT(Table3[[#This Row],[Date]],"YYYY-MM")</f>
        <v>2025-03</v>
      </c>
      <c r="O120" s="2">
        <f>O119+Table3[[#This Row],[Volume]]</f>
        <v>37684100</v>
      </c>
    </row>
    <row r="121" spans="1:15" x14ac:dyDescent="0.35">
      <c r="A121" s="3" t="s">
        <v>8</v>
      </c>
      <c r="B121" s="2" t="s">
        <v>69</v>
      </c>
      <c r="C121" s="2">
        <v>1266.67</v>
      </c>
      <c r="D121" s="2">
        <v>1271.8900000000001</v>
      </c>
      <c r="E121" s="2">
        <v>1259.93</v>
      </c>
      <c r="F121" s="2">
        <v>1262.3699999999999</v>
      </c>
      <c r="G121" s="2">
        <v>1260.55</v>
      </c>
      <c r="H121" s="2">
        <v>192803</v>
      </c>
      <c r="I121" s="2">
        <f t="shared" si="5"/>
        <v>-3.3947279086109102E-3</v>
      </c>
      <c r="J121" s="2">
        <f t="shared" si="6"/>
        <v>2223.6524999999997</v>
      </c>
      <c r="K121" s="2">
        <f t="shared" si="7"/>
        <v>2290.2819999999997</v>
      </c>
      <c r="L121" s="2">
        <f t="shared" si="8"/>
        <v>2331.1306451612904</v>
      </c>
      <c r="M121" s="4">
        <f t="shared" si="9"/>
        <v>9.4420804155778814E-3</v>
      </c>
      <c r="N121" s="2" t="str">
        <f>TEXT(Table3[[#This Row],[Date]],"YYYY-MM")</f>
        <v>2025-03</v>
      </c>
      <c r="O121" s="2">
        <f>O120+Table3[[#This Row],[Volume]]</f>
        <v>37876903</v>
      </c>
    </row>
    <row r="122" spans="1:15" x14ac:dyDescent="0.35">
      <c r="A122" s="3" t="s">
        <v>67</v>
      </c>
      <c r="B122" s="2" t="s">
        <v>72</v>
      </c>
      <c r="C122" s="2">
        <v>2362.61</v>
      </c>
      <c r="D122" s="2">
        <v>2380.7800000000002</v>
      </c>
      <c r="E122" s="2">
        <v>2344.59</v>
      </c>
      <c r="F122" s="2">
        <v>2368.52</v>
      </c>
      <c r="G122" s="2">
        <v>2369.7399999999998</v>
      </c>
      <c r="H122" s="2">
        <v>211867</v>
      </c>
      <c r="I122" s="2">
        <f t="shared" si="5"/>
        <v>2.5014708309877018E-3</v>
      </c>
      <c r="J122" s="2">
        <f t="shared" si="6"/>
        <v>2361.9024999999997</v>
      </c>
      <c r="K122" s="2">
        <f t="shared" si="7"/>
        <v>2362.5939999999996</v>
      </c>
      <c r="L122" s="2">
        <f t="shared" si="8"/>
        <v>2366.6506451612904</v>
      </c>
      <c r="M122" s="4">
        <f t="shared" si="9"/>
        <v>1.5317805308535921E-2</v>
      </c>
      <c r="N122" s="2" t="str">
        <f>TEXT(Table3[[#This Row],[Date]],"YYYY-MM")</f>
        <v>2025-05</v>
      </c>
      <c r="O122" s="2">
        <f>O121+Table3[[#This Row],[Volume]]</f>
        <v>38088770</v>
      </c>
    </row>
    <row r="123" spans="1:15" x14ac:dyDescent="0.35">
      <c r="A123" s="3" t="s">
        <v>66</v>
      </c>
      <c r="B123" s="2" t="s">
        <v>72</v>
      </c>
      <c r="C123" s="2">
        <v>2366.94</v>
      </c>
      <c r="D123" s="2">
        <v>2386.8200000000002</v>
      </c>
      <c r="E123" s="2">
        <v>2349.17</v>
      </c>
      <c r="F123" s="2">
        <v>2372.19</v>
      </c>
      <c r="G123" s="2">
        <v>2371.02</v>
      </c>
      <c r="H123" s="2">
        <v>440230</v>
      </c>
      <c r="I123" s="2">
        <f t="shared" si="5"/>
        <v>2.21805368957388E-3</v>
      </c>
      <c r="J123" s="2">
        <f t="shared" si="6"/>
        <v>2361.1012500000006</v>
      </c>
      <c r="K123" s="2">
        <f t="shared" si="7"/>
        <v>2363.6900000000005</v>
      </c>
      <c r="L123" s="2">
        <f t="shared" si="8"/>
        <v>2366.5893548387098</v>
      </c>
      <c r="M123" s="4">
        <f t="shared" si="9"/>
        <v>1.5906613602372721E-2</v>
      </c>
      <c r="N123" s="2" t="str">
        <f>TEXT(Table3[[#This Row],[Date]],"YYYY-MM")</f>
        <v>2025-05</v>
      </c>
      <c r="O123" s="2">
        <f>O122+Table3[[#This Row],[Volume]]</f>
        <v>38529000</v>
      </c>
    </row>
    <row r="124" spans="1:15" x14ac:dyDescent="0.35">
      <c r="A124" s="3" t="s">
        <v>65</v>
      </c>
      <c r="B124" s="2" t="s">
        <v>72</v>
      </c>
      <c r="C124" s="2">
        <v>2358.52</v>
      </c>
      <c r="D124" s="2">
        <v>2370.23</v>
      </c>
      <c r="E124" s="2">
        <v>2344.5100000000002</v>
      </c>
      <c r="F124" s="2">
        <v>2349.36</v>
      </c>
      <c r="G124" s="2">
        <v>2349.42</v>
      </c>
      <c r="H124" s="2">
        <v>292274</v>
      </c>
      <c r="I124" s="2">
        <f t="shared" si="5"/>
        <v>-3.8837915302816404E-3</v>
      </c>
      <c r="J124" s="2">
        <f t="shared" si="6"/>
        <v>2363.36375</v>
      </c>
      <c r="K124" s="2">
        <f t="shared" si="7"/>
        <v>2364.9080000000004</v>
      </c>
      <c r="L124" s="2">
        <f t="shared" si="8"/>
        <v>2365.8390322580644</v>
      </c>
      <c r="M124" s="4">
        <f t="shared" si="9"/>
        <v>1.0905143903803996E-2</v>
      </c>
      <c r="N124" s="2" t="str">
        <f>TEXT(Table3[[#This Row],[Date]],"YYYY-MM")</f>
        <v>2025-05</v>
      </c>
      <c r="O124" s="2">
        <f>O123+Table3[[#This Row],[Volume]]</f>
        <v>38821274</v>
      </c>
    </row>
    <row r="125" spans="1:15" x14ac:dyDescent="0.35">
      <c r="A125" s="3" t="s">
        <v>64</v>
      </c>
      <c r="B125" s="2" t="s">
        <v>72</v>
      </c>
      <c r="C125" s="2">
        <v>2359.14</v>
      </c>
      <c r="D125" s="2">
        <v>2365.4499999999998</v>
      </c>
      <c r="E125" s="2">
        <v>2340.09</v>
      </c>
      <c r="F125" s="2">
        <v>2346.11</v>
      </c>
      <c r="G125" s="2">
        <v>2346.33</v>
      </c>
      <c r="H125" s="2">
        <v>202592</v>
      </c>
      <c r="I125" s="2">
        <f t="shared" si="5"/>
        <v>-5.5231991318869357E-3</v>
      </c>
      <c r="J125" s="2">
        <f t="shared" si="6"/>
        <v>2363.1012500000002</v>
      </c>
      <c r="K125" s="2">
        <f t="shared" si="7"/>
        <v>2366.5733333333337</v>
      </c>
      <c r="L125" s="2">
        <f t="shared" si="8"/>
        <v>2366.7358064516129</v>
      </c>
      <c r="M125" s="4">
        <f t="shared" si="9"/>
        <v>1.074967996812384E-2</v>
      </c>
      <c r="N125" s="2" t="str">
        <f>TEXT(Table3[[#This Row],[Date]],"YYYY-MM")</f>
        <v>2025-05</v>
      </c>
      <c r="O125" s="2">
        <f>O124+Table3[[#This Row],[Volume]]</f>
        <v>39023866</v>
      </c>
    </row>
    <row r="126" spans="1:15" x14ac:dyDescent="0.35">
      <c r="A126" s="3" t="s">
        <v>63</v>
      </c>
      <c r="B126" s="2" t="s">
        <v>72</v>
      </c>
      <c r="C126" s="2">
        <v>2361.73</v>
      </c>
      <c r="D126" s="2">
        <v>2379.12</v>
      </c>
      <c r="E126" s="2">
        <v>2345</v>
      </c>
      <c r="F126" s="2">
        <v>2363.87</v>
      </c>
      <c r="G126" s="2">
        <v>2364.6999999999998</v>
      </c>
      <c r="H126" s="2">
        <v>133149</v>
      </c>
      <c r="I126" s="2">
        <f t="shared" si="5"/>
        <v>9.0611543233133033E-4</v>
      </c>
      <c r="J126" s="2">
        <f t="shared" si="6"/>
        <v>2365.2362499999999</v>
      </c>
      <c r="K126" s="2">
        <f t="shared" si="7"/>
        <v>2367.6940000000004</v>
      </c>
      <c r="L126" s="2">
        <f t="shared" si="8"/>
        <v>2367.1812903225805</v>
      </c>
      <c r="M126" s="4">
        <f t="shared" si="9"/>
        <v>1.4447036706143331E-2</v>
      </c>
      <c r="N126" s="2" t="str">
        <f>TEXT(Table3[[#This Row],[Date]],"YYYY-MM")</f>
        <v>2025-05</v>
      </c>
      <c r="O126" s="2">
        <f>O125+Table3[[#This Row],[Volume]]</f>
        <v>39157015</v>
      </c>
    </row>
    <row r="127" spans="1:15" x14ac:dyDescent="0.35">
      <c r="A127" s="3" t="s">
        <v>62</v>
      </c>
      <c r="B127" s="2" t="s">
        <v>72</v>
      </c>
      <c r="C127" s="2">
        <v>2379.13</v>
      </c>
      <c r="D127" s="2">
        <v>2391.94</v>
      </c>
      <c r="E127" s="2">
        <v>2364.7800000000002</v>
      </c>
      <c r="F127" s="2">
        <v>2379.0700000000002</v>
      </c>
      <c r="G127" s="2">
        <v>2377.4299999999998</v>
      </c>
      <c r="H127" s="2">
        <v>115372</v>
      </c>
      <c r="I127" s="2">
        <f t="shared" si="5"/>
        <v>-2.5219302854381822E-5</v>
      </c>
      <c r="J127" s="2">
        <f t="shared" si="6"/>
        <v>2363.98</v>
      </c>
      <c r="K127" s="2">
        <f t="shared" si="7"/>
        <v>2367.9106666666671</v>
      </c>
      <c r="L127" s="2">
        <f t="shared" si="8"/>
        <v>2367.69</v>
      </c>
      <c r="M127" s="4">
        <f t="shared" si="9"/>
        <v>1.1415937758760493E-2</v>
      </c>
      <c r="N127" s="2" t="str">
        <f>TEXT(Table3[[#This Row],[Date]],"YYYY-MM")</f>
        <v>2025-05</v>
      </c>
      <c r="O127" s="2">
        <f>O126+Table3[[#This Row],[Volume]]</f>
        <v>39272387</v>
      </c>
    </row>
    <row r="128" spans="1:15" x14ac:dyDescent="0.35">
      <c r="A128" s="3" t="s">
        <v>61</v>
      </c>
      <c r="B128" s="2" t="s">
        <v>72</v>
      </c>
      <c r="C128" s="2">
        <v>2361.66</v>
      </c>
      <c r="D128" s="2">
        <v>2368.9499999999998</v>
      </c>
      <c r="E128" s="2">
        <v>2341.77</v>
      </c>
      <c r="F128" s="2">
        <v>2348.3200000000002</v>
      </c>
      <c r="G128" s="2">
        <v>2350.0300000000002</v>
      </c>
      <c r="H128" s="2">
        <v>464982</v>
      </c>
      <c r="I128" s="2">
        <f t="shared" si="5"/>
        <v>-5.6485692267302205E-3</v>
      </c>
      <c r="J128" s="2">
        <f t="shared" si="6"/>
        <v>2364.38</v>
      </c>
      <c r="K128" s="2">
        <f t="shared" si="7"/>
        <v>2368.0846666666671</v>
      </c>
      <c r="L128" s="2">
        <f t="shared" si="8"/>
        <v>2367.6329032258063</v>
      </c>
      <c r="M128" s="4">
        <f t="shared" si="9"/>
        <v>1.1508853941718892E-2</v>
      </c>
      <c r="N128" s="2" t="str">
        <f>TEXT(Table3[[#This Row],[Date]],"YYYY-MM")</f>
        <v>2025-05</v>
      </c>
      <c r="O128" s="2">
        <f>O127+Table3[[#This Row],[Volume]]</f>
        <v>39737369</v>
      </c>
    </row>
    <row r="129" spans="1:15" x14ac:dyDescent="0.35">
      <c r="A129" s="3" t="s">
        <v>60</v>
      </c>
      <c r="B129" s="2" t="s">
        <v>72</v>
      </c>
      <c r="C129" s="2">
        <v>2359.64</v>
      </c>
      <c r="D129" s="2">
        <v>2374.61</v>
      </c>
      <c r="E129" s="2">
        <v>2342.71</v>
      </c>
      <c r="F129" s="2">
        <v>2364.84</v>
      </c>
      <c r="G129" s="2">
        <v>2366.5500000000002</v>
      </c>
      <c r="H129" s="2">
        <v>100814</v>
      </c>
      <c r="I129" s="2">
        <f t="shared" si="5"/>
        <v>2.2037259921006058E-3</v>
      </c>
      <c r="J129" s="2">
        <f t="shared" si="6"/>
        <v>2363.7799999999997</v>
      </c>
      <c r="K129" s="2">
        <f t="shared" si="7"/>
        <v>2369.2993333333334</v>
      </c>
      <c r="L129" s="2">
        <f t="shared" si="8"/>
        <v>2368.2425806451615</v>
      </c>
      <c r="M129" s="4">
        <f t="shared" si="9"/>
        <v>1.3519011374616505E-2</v>
      </c>
      <c r="N129" s="2" t="str">
        <f>TEXT(Table3[[#This Row],[Date]],"YYYY-MM")</f>
        <v>2025-05</v>
      </c>
      <c r="O129" s="2">
        <f>O128+Table3[[#This Row],[Volume]]</f>
        <v>39838183</v>
      </c>
    </row>
    <row r="130" spans="1:15" x14ac:dyDescent="0.35">
      <c r="A130" s="3" t="s">
        <v>59</v>
      </c>
      <c r="B130" s="2" t="s">
        <v>72</v>
      </c>
      <c r="C130" s="2">
        <v>2357.09</v>
      </c>
      <c r="D130" s="2">
        <v>2370.13</v>
      </c>
      <c r="E130" s="2">
        <v>2350.64</v>
      </c>
      <c r="F130" s="2">
        <v>2363.5300000000002</v>
      </c>
      <c r="G130" s="2">
        <v>2363.33</v>
      </c>
      <c r="H130" s="2">
        <v>116714</v>
      </c>
      <c r="I130" s="2">
        <f t="shared" ref="I130:I193" si="10">(F130-C130)/C130</f>
        <v>2.732182479243497E-3</v>
      </c>
      <c r="J130" s="2">
        <f t="shared" ref="J130:J193" si="11">AVERAGE(G130:G137)</f>
        <v>2366.2337499999999</v>
      </c>
      <c r="K130" s="2">
        <f t="shared" ref="K130:K193" si="12">AVERAGE(G130:G144)</f>
        <v>2368.8326666666671</v>
      </c>
      <c r="L130" s="2">
        <f t="shared" ref="L130:L193" si="13">AVERAGE(G130:G160)</f>
        <v>2367.914838709677</v>
      </c>
      <c r="M130" s="4">
        <f t="shared" ref="M130:M193" si="14">(D130-E130)/C130</f>
        <v>8.2686702671515445E-3</v>
      </c>
      <c r="N130" s="2" t="str">
        <f>TEXT(Table3[[#This Row],[Date]],"YYYY-MM")</f>
        <v>2025-05</v>
      </c>
      <c r="O130" s="2">
        <f>O129+Table3[[#This Row],[Volume]]</f>
        <v>39954897</v>
      </c>
    </row>
    <row r="131" spans="1:15" x14ac:dyDescent="0.35">
      <c r="A131" s="3" t="s">
        <v>58</v>
      </c>
      <c r="B131" s="2" t="s">
        <v>72</v>
      </c>
      <c r="C131" s="2">
        <v>2383.73</v>
      </c>
      <c r="D131" s="2">
        <v>2395.71</v>
      </c>
      <c r="E131" s="2">
        <v>2377.83</v>
      </c>
      <c r="F131" s="2">
        <v>2388.87</v>
      </c>
      <c r="G131" s="2">
        <v>2389.12</v>
      </c>
      <c r="H131" s="2">
        <v>243239</v>
      </c>
      <c r="I131" s="2">
        <f t="shared" si="10"/>
        <v>2.1562844785272964E-3</v>
      </c>
      <c r="J131" s="2">
        <f t="shared" si="11"/>
        <v>2369.4787500000002</v>
      </c>
      <c r="K131" s="2">
        <f t="shared" si="12"/>
        <v>2368.4833333333331</v>
      </c>
      <c r="L131" s="2">
        <f t="shared" si="13"/>
        <v>2368.4609677419348</v>
      </c>
      <c r="M131" s="4">
        <f t="shared" si="14"/>
        <v>7.5008495089628896E-3</v>
      </c>
      <c r="N131" s="2" t="str">
        <f>TEXT(Table3[[#This Row],[Date]],"YYYY-MM")</f>
        <v>2025-05</v>
      </c>
      <c r="O131" s="2">
        <f>O130+Table3[[#This Row],[Volume]]</f>
        <v>40198136</v>
      </c>
    </row>
    <row r="132" spans="1:15" x14ac:dyDescent="0.35">
      <c r="A132" s="3" t="s">
        <v>57</v>
      </c>
      <c r="B132" s="2" t="s">
        <v>72</v>
      </c>
      <c r="C132" s="2">
        <v>2355.27</v>
      </c>
      <c r="D132" s="2">
        <v>2370.31</v>
      </c>
      <c r="E132" s="2">
        <v>2335.36</v>
      </c>
      <c r="F132" s="2">
        <v>2346.67</v>
      </c>
      <c r="G132" s="2">
        <v>2347.3200000000002</v>
      </c>
      <c r="H132" s="2">
        <v>419470</v>
      </c>
      <c r="I132" s="2">
        <f t="shared" si="10"/>
        <v>-3.6513860406662121E-3</v>
      </c>
      <c r="J132" s="2">
        <f t="shared" si="11"/>
        <v>2367.6387500000001</v>
      </c>
      <c r="K132" s="2">
        <f t="shared" si="12"/>
        <v>2366.3500000000004</v>
      </c>
      <c r="L132" s="2">
        <f t="shared" si="13"/>
        <v>2368.0090322580641</v>
      </c>
      <c r="M132" s="4">
        <f t="shared" si="14"/>
        <v>1.4839063037358697E-2</v>
      </c>
      <c r="N132" s="2" t="str">
        <f>TEXT(Table3[[#This Row],[Date]],"YYYY-MM")</f>
        <v>2025-05</v>
      </c>
      <c r="O132" s="2">
        <f>O131+Table3[[#This Row],[Volume]]</f>
        <v>40617606</v>
      </c>
    </row>
    <row r="133" spans="1:15" x14ac:dyDescent="0.35">
      <c r="A133" s="3" t="s">
        <v>56</v>
      </c>
      <c r="B133" s="2" t="s">
        <v>72</v>
      </c>
      <c r="C133" s="2">
        <v>2369.34</v>
      </c>
      <c r="D133" s="2">
        <v>2387.54</v>
      </c>
      <c r="E133" s="2">
        <v>2354.58</v>
      </c>
      <c r="F133" s="2">
        <v>2363.2800000000002</v>
      </c>
      <c r="G133" s="2">
        <v>2363.41</v>
      </c>
      <c r="H133" s="2">
        <v>217413</v>
      </c>
      <c r="I133" s="2">
        <f t="shared" si="10"/>
        <v>-2.557674289042495E-3</v>
      </c>
      <c r="J133" s="2">
        <f t="shared" si="11"/>
        <v>2369.61625</v>
      </c>
      <c r="K133" s="2">
        <f t="shared" si="12"/>
        <v>2367.3759999999997</v>
      </c>
      <c r="L133" s="2">
        <f t="shared" si="13"/>
        <v>2368.9432258064512</v>
      </c>
      <c r="M133" s="4">
        <f t="shared" si="14"/>
        <v>1.3911046958224668E-2</v>
      </c>
      <c r="N133" s="2" t="str">
        <f>TEXT(Table3[[#This Row],[Date]],"YYYY-MM")</f>
        <v>2025-05</v>
      </c>
      <c r="O133" s="2">
        <f>O132+Table3[[#This Row],[Volume]]</f>
        <v>40835019</v>
      </c>
    </row>
    <row r="134" spans="1:15" x14ac:dyDescent="0.35">
      <c r="A134" s="3" t="s">
        <v>55</v>
      </c>
      <c r="B134" s="2" t="s">
        <v>72</v>
      </c>
      <c r="C134" s="2">
        <v>2355.9899999999998</v>
      </c>
      <c r="D134" s="2">
        <v>2366.31</v>
      </c>
      <c r="E134" s="2">
        <v>2349.9499999999998</v>
      </c>
      <c r="F134" s="2">
        <v>2354.5700000000002</v>
      </c>
      <c r="G134" s="2">
        <v>2354.65</v>
      </c>
      <c r="H134" s="2">
        <v>451427</v>
      </c>
      <c r="I134" s="2">
        <f t="shared" si="10"/>
        <v>-6.0271902682083466E-4</v>
      </c>
      <c r="J134" s="2">
        <f t="shared" si="11"/>
        <v>2370.1837500000001</v>
      </c>
      <c r="K134" s="2">
        <f t="shared" si="12"/>
        <v>2368.1999999999998</v>
      </c>
      <c r="L134" s="2">
        <f t="shared" si="13"/>
        <v>2368.7364516129032</v>
      </c>
      <c r="M134" s="4">
        <f t="shared" si="14"/>
        <v>6.9440023090081571E-3</v>
      </c>
      <c r="N134" s="2" t="str">
        <f>TEXT(Table3[[#This Row],[Date]],"YYYY-MM")</f>
        <v>2025-05</v>
      </c>
      <c r="O134" s="2">
        <f>O133+Table3[[#This Row],[Volume]]</f>
        <v>41286446</v>
      </c>
    </row>
    <row r="135" spans="1:15" x14ac:dyDescent="0.35">
      <c r="A135" s="3" t="s">
        <v>54</v>
      </c>
      <c r="B135" s="2" t="s">
        <v>72</v>
      </c>
      <c r="C135" s="2">
        <v>2372.69</v>
      </c>
      <c r="D135" s="2">
        <v>2381.8000000000002</v>
      </c>
      <c r="E135" s="2">
        <v>2366.5</v>
      </c>
      <c r="F135" s="2">
        <v>2382.29</v>
      </c>
      <c r="G135" s="2">
        <v>2380.63</v>
      </c>
      <c r="H135" s="2">
        <v>179608</v>
      </c>
      <c r="I135" s="2">
        <f t="shared" si="10"/>
        <v>4.0460405699859273E-3</v>
      </c>
      <c r="J135" s="2">
        <f t="shared" si="11"/>
        <v>2373.3575000000001</v>
      </c>
      <c r="K135" s="2">
        <f t="shared" si="12"/>
        <v>2368.4846666666663</v>
      </c>
      <c r="L135" s="2">
        <f t="shared" si="13"/>
        <v>2369.7874193548382</v>
      </c>
      <c r="M135" s="4">
        <f t="shared" si="14"/>
        <v>6.4483771584152088E-3</v>
      </c>
      <c r="N135" s="2" t="str">
        <f>TEXT(Table3[[#This Row],[Date]],"YYYY-MM")</f>
        <v>2025-05</v>
      </c>
      <c r="O135" s="2">
        <f>O134+Table3[[#This Row],[Volume]]</f>
        <v>41466054</v>
      </c>
    </row>
    <row r="136" spans="1:15" x14ac:dyDescent="0.35">
      <c r="A136" s="3" t="s">
        <v>53</v>
      </c>
      <c r="B136" s="2" t="s">
        <v>72</v>
      </c>
      <c r="C136" s="2">
        <v>2352.64</v>
      </c>
      <c r="D136" s="2">
        <v>2368.4</v>
      </c>
      <c r="E136" s="2">
        <v>2337.25</v>
      </c>
      <c r="F136" s="2">
        <v>2343.2600000000002</v>
      </c>
      <c r="G136" s="2">
        <v>2345.23</v>
      </c>
      <c r="H136" s="2">
        <v>168722</v>
      </c>
      <c r="I136" s="2">
        <f t="shared" si="10"/>
        <v>-3.9870103373230307E-3</v>
      </c>
      <c r="J136" s="2">
        <f t="shared" si="11"/>
        <v>2371.81</v>
      </c>
      <c r="K136" s="2">
        <f t="shared" si="12"/>
        <v>2368.0880000000002</v>
      </c>
      <c r="L136" s="2">
        <f t="shared" si="13"/>
        <v>2369.5674193548384</v>
      </c>
      <c r="M136" s="4">
        <f t="shared" si="14"/>
        <v>1.3240444776931487E-2</v>
      </c>
      <c r="N136" s="2" t="str">
        <f>TEXT(Table3[[#This Row],[Date]],"YYYY-MM")</f>
        <v>2025-05</v>
      </c>
      <c r="O136" s="2">
        <f>O135+Table3[[#This Row],[Volume]]</f>
        <v>41634776</v>
      </c>
    </row>
    <row r="137" spans="1:15" x14ac:dyDescent="0.35">
      <c r="A137" s="3" t="s">
        <v>52</v>
      </c>
      <c r="B137" s="2" t="s">
        <v>72</v>
      </c>
      <c r="C137" s="2">
        <v>2366.12</v>
      </c>
      <c r="D137" s="2">
        <v>2385.94</v>
      </c>
      <c r="E137" s="2">
        <v>2359.0700000000002</v>
      </c>
      <c r="F137" s="2">
        <v>2385.4</v>
      </c>
      <c r="G137" s="2">
        <v>2386.1799999999998</v>
      </c>
      <c r="H137" s="2">
        <v>182260</v>
      </c>
      <c r="I137" s="2">
        <f t="shared" si="10"/>
        <v>8.1483610298717733E-3</v>
      </c>
      <c r="J137" s="2">
        <f t="shared" si="11"/>
        <v>2373.6</v>
      </c>
      <c r="K137" s="2">
        <f t="shared" si="12"/>
        <v>2371.0393333333332</v>
      </c>
      <c r="L137" s="2">
        <f t="shared" si="13"/>
        <v>2370.3877419354835</v>
      </c>
      <c r="M137" s="4">
        <f t="shared" si="14"/>
        <v>1.1356144236133372E-2</v>
      </c>
      <c r="N137" s="2" t="str">
        <f>TEXT(Table3[[#This Row],[Date]],"YYYY-MM")</f>
        <v>2025-05</v>
      </c>
      <c r="O137" s="2">
        <f>O136+Table3[[#This Row],[Volume]]</f>
        <v>41817036</v>
      </c>
    </row>
    <row r="138" spans="1:15" x14ac:dyDescent="0.35">
      <c r="A138" s="3" t="s">
        <v>51</v>
      </c>
      <c r="B138" s="2" t="s">
        <v>72</v>
      </c>
      <c r="C138" s="2">
        <v>2379.25</v>
      </c>
      <c r="D138" s="2">
        <v>2392.4499999999998</v>
      </c>
      <c r="E138" s="2">
        <v>2370.77</v>
      </c>
      <c r="F138" s="2">
        <v>2389.73</v>
      </c>
      <c r="G138" s="2">
        <v>2389.29</v>
      </c>
      <c r="H138" s="2">
        <v>272344</v>
      </c>
      <c r="I138" s="2">
        <f t="shared" si="10"/>
        <v>4.4047493958180176E-3</v>
      </c>
      <c r="J138" s="2">
        <f t="shared" si="11"/>
        <v>2370.0887499999999</v>
      </c>
      <c r="K138" s="2">
        <f t="shared" si="12"/>
        <v>2369.4053333333331</v>
      </c>
      <c r="L138" s="2">
        <f t="shared" si="13"/>
        <v>2369.8419354838707</v>
      </c>
      <c r="M138" s="4">
        <f t="shared" si="14"/>
        <v>9.1121151623410057E-3</v>
      </c>
      <c r="N138" s="2" t="str">
        <f>TEXT(Table3[[#This Row],[Date]],"YYYY-MM")</f>
        <v>2025-05</v>
      </c>
      <c r="O138" s="2">
        <f>O137+Table3[[#This Row],[Volume]]</f>
        <v>42089380</v>
      </c>
    </row>
    <row r="139" spans="1:15" x14ac:dyDescent="0.35">
      <c r="A139" s="3" t="s">
        <v>50</v>
      </c>
      <c r="B139" s="2" t="s">
        <v>72</v>
      </c>
      <c r="C139" s="2">
        <v>2373.34</v>
      </c>
      <c r="D139" s="2">
        <v>2381.59</v>
      </c>
      <c r="E139" s="2">
        <v>2366.9</v>
      </c>
      <c r="F139" s="2">
        <v>2376.31</v>
      </c>
      <c r="G139" s="2">
        <v>2374.4</v>
      </c>
      <c r="H139" s="2">
        <v>209271</v>
      </c>
      <c r="I139" s="2">
        <f t="shared" si="10"/>
        <v>1.2514009792106481E-3</v>
      </c>
      <c r="J139" s="2">
        <f t="shared" si="11"/>
        <v>2366.0674999999997</v>
      </c>
      <c r="K139" s="2">
        <f t="shared" si="12"/>
        <v>2367.9753333333329</v>
      </c>
      <c r="L139" s="2">
        <f t="shared" si="13"/>
        <v>2369.4867741935482</v>
      </c>
      <c r="M139" s="4">
        <f t="shared" si="14"/>
        <v>6.1895893550861034E-3</v>
      </c>
      <c r="N139" s="2" t="str">
        <f>TEXT(Table3[[#This Row],[Date]],"YYYY-MM")</f>
        <v>2025-05</v>
      </c>
      <c r="O139" s="2">
        <f>O138+Table3[[#This Row],[Volume]]</f>
        <v>42298651</v>
      </c>
    </row>
    <row r="140" spans="1:15" x14ac:dyDescent="0.35">
      <c r="A140" s="3" t="s">
        <v>49</v>
      </c>
      <c r="B140" s="2" t="s">
        <v>72</v>
      </c>
      <c r="C140" s="2">
        <v>2369.39</v>
      </c>
      <c r="D140" s="2">
        <v>2381.17</v>
      </c>
      <c r="E140" s="2">
        <v>2355.59</v>
      </c>
      <c r="F140" s="2">
        <v>2364.4699999999998</v>
      </c>
      <c r="G140" s="2">
        <v>2363.14</v>
      </c>
      <c r="H140" s="2">
        <v>278016</v>
      </c>
      <c r="I140" s="2">
        <f t="shared" si="10"/>
        <v>-2.0764838207302612E-3</v>
      </c>
      <c r="J140" s="2">
        <f t="shared" si="11"/>
        <v>2364.6062499999998</v>
      </c>
      <c r="K140" s="2">
        <f t="shared" si="12"/>
        <v>2366.199333333333</v>
      </c>
      <c r="L140" s="2">
        <f t="shared" si="13"/>
        <v>2369.6683870967736</v>
      </c>
      <c r="M140" s="4">
        <f t="shared" si="14"/>
        <v>1.0796027669568931E-2</v>
      </c>
      <c r="N140" s="2" t="str">
        <f>TEXT(Table3[[#This Row],[Date]],"YYYY-MM")</f>
        <v>2025-05</v>
      </c>
      <c r="O140" s="2">
        <f>O139+Table3[[#This Row],[Volume]]</f>
        <v>42576667</v>
      </c>
    </row>
    <row r="141" spans="1:15" x14ac:dyDescent="0.35">
      <c r="A141" s="3" t="s">
        <v>48</v>
      </c>
      <c r="B141" s="2" t="s">
        <v>72</v>
      </c>
      <c r="C141" s="2">
        <v>2359.8200000000002</v>
      </c>
      <c r="D141" s="2">
        <v>2377.16</v>
      </c>
      <c r="E141" s="2">
        <v>2348.46</v>
      </c>
      <c r="F141" s="2">
        <v>2367.2800000000002</v>
      </c>
      <c r="G141" s="2">
        <v>2367.9499999999998</v>
      </c>
      <c r="H141" s="2">
        <v>201657</v>
      </c>
      <c r="I141" s="2">
        <f t="shared" si="10"/>
        <v>3.1612580620555956E-3</v>
      </c>
      <c r="J141" s="2">
        <f t="shared" si="11"/>
        <v>2366.1849999999999</v>
      </c>
      <c r="K141" s="2">
        <f t="shared" si="12"/>
        <v>2367.1379999999999</v>
      </c>
      <c r="L141" s="2">
        <f t="shared" si="13"/>
        <v>2370.3545161290322</v>
      </c>
      <c r="M141" s="4">
        <f t="shared" si="14"/>
        <v>1.2161944555093108E-2</v>
      </c>
      <c r="N141" s="2" t="str">
        <f>TEXT(Table3[[#This Row],[Date]],"YYYY-MM")</f>
        <v>2025-05</v>
      </c>
      <c r="O141" s="2">
        <f>O140+Table3[[#This Row],[Volume]]</f>
        <v>42778324</v>
      </c>
    </row>
    <row r="142" spans="1:15" x14ac:dyDescent="0.35">
      <c r="A142" s="3" t="s">
        <v>47</v>
      </c>
      <c r="B142" s="2" t="s">
        <v>72</v>
      </c>
      <c r="C142" s="2">
        <v>2378.4899999999998</v>
      </c>
      <c r="D142" s="2">
        <v>2396.9899999999998</v>
      </c>
      <c r="E142" s="2">
        <v>2368.19</v>
      </c>
      <c r="F142" s="2">
        <v>2381.09</v>
      </c>
      <c r="G142" s="2">
        <v>2380.04</v>
      </c>
      <c r="H142" s="2">
        <v>264903</v>
      </c>
      <c r="I142" s="2">
        <f t="shared" si="10"/>
        <v>1.0931305155793651E-3</v>
      </c>
      <c r="J142" s="2">
        <f t="shared" si="11"/>
        <v>2365.0562499999996</v>
      </c>
      <c r="K142" s="2">
        <f t="shared" si="12"/>
        <v>2366.6173333333331</v>
      </c>
      <c r="L142" s="2">
        <f t="shared" si="13"/>
        <v>2369.7529032258067</v>
      </c>
      <c r="M142" s="4">
        <f t="shared" si="14"/>
        <v>1.210852263410808E-2</v>
      </c>
      <c r="N142" s="2" t="str">
        <f>TEXT(Table3[[#This Row],[Date]],"YYYY-MM")</f>
        <v>2025-05</v>
      </c>
      <c r="O142" s="2">
        <f>O141+Table3[[#This Row],[Volume]]</f>
        <v>43043227</v>
      </c>
    </row>
    <row r="143" spans="1:15" x14ac:dyDescent="0.35">
      <c r="A143" s="3" t="s">
        <v>46</v>
      </c>
      <c r="B143" s="2" t="s">
        <v>72</v>
      </c>
      <c r="C143" s="2">
        <v>2367.4899999999998</v>
      </c>
      <c r="D143" s="2">
        <v>2375.91</v>
      </c>
      <c r="E143" s="2">
        <v>2359.31</v>
      </c>
      <c r="F143" s="2">
        <v>2367.81</v>
      </c>
      <c r="G143" s="2">
        <v>2368.25</v>
      </c>
      <c r="H143" s="2">
        <v>232661</v>
      </c>
      <c r="I143" s="2">
        <f t="shared" si="10"/>
        <v>1.3516424567798122E-4</v>
      </c>
      <c r="J143" s="2">
        <f t="shared" si="11"/>
        <v>2364.3862500000005</v>
      </c>
      <c r="K143" s="2">
        <f t="shared" si="12"/>
        <v>2366.6460000000002</v>
      </c>
      <c r="L143" s="2">
        <f t="shared" si="13"/>
        <v>2369.3277419354845</v>
      </c>
      <c r="M143" s="4">
        <f t="shared" si="14"/>
        <v>7.0116452445416495E-3</v>
      </c>
      <c r="N143" s="2" t="str">
        <f>TEXT(Table3[[#This Row],[Date]],"YYYY-MM")</f>
        <v>2025-04</v>
      </c>
      <c r="O143" s="2">
        <f>O142+Table3[[#This Row],[Volume]]</f>
        <v>43275888</v>
      </c>
    </row>
    <row r="144" spans="1:15" x14ac:dyDescent="0.35">
      <c r="A144" s="3" t="s">
        <v>45</v>
      </c>
      <c r="B144" s="2" t="s">
        <v>72</v>
      </c>
      <c r="C144" s="2">
        <v>2361.21</v>
      </c>
      <c r="D144" s="2">
        <v>2375.71</v>
      </c>
      <c r="E144" s="2">
        <v>2341.94</v>
      </c>
      <c r="F144" s="2">
        <v>2359.14</v>
      </c>
      <c r="G144" s="2">
        <v>2359.5500000000002</v>
      </c>
      <c r="H144" s="2">
        <v>269785</v>
      </c>
      <c r="I144" s="2">
        <f t="shared" si="10"/>
        <v>-8.7666916538561314E-4</v>
      </c>
      <c r="J144" s="2">
        <f t="shared" si="11"/>
        <v>2367.0425</v>
      </c>
      <c r="K144" s="2">
        <f t="shared" si="12"/>
        <v>2367.1400000000003</v>
      </c>
      <c r="L144" s="2">
        <f t="shared" si="13"/>
        <v>2369.2751612903226</v>
      </c>
      <c r="M144" s="4">
        <f t="shared" si="14"/>
        <v>1.4301989234333236E-2</v>
      </c>
      <c r="N144" s="2" t="str">
        <f>TEXT(Table3[[#This Row],[Date]],"YYYY-MM")</f>
        <v>2025-04</v>
      </c>
      <c r="O144" s="2">
        <f>O143+Table3[[#This Row],[Volume]]</f>
        <v>43545673</v>
      </c>
    </row>
    <row r="145" spans="1:15" x14ac:dyDescent="0.35">
      <c r="A145" s="3" t="s">
        <v>44</v>
      </c>
      <c r="B145" s="2" t="s">
        <v>72</v>
      </c>
      <c r="C145" s="2">
        <v>2351.0700000000002</v>
      </c>
      <c r="D145" s="2">
        <v>2370.5100000000002</v>
      </c>
      <c r="E145" s="2">
        <v>2338.8200000000002</v>
      </c>
      <c r="F145" s="2">
        <v>2356.87</v>
      </c>
      <c r="G145" s="2">
        <v>2358.09</v>
      </c>
      <c r="H145" s="2">
        <v>410486</v>
      </c>
      <c r="I145" s="2">
        <f t="shared" si="10"/>
        <v>2.4669618514122195E-3</v>
      </c>
      <c r="J145" s="2">
        <f t="shared" si="11"/>
        <v>2367.3074999999999</v>
      </c>
      <c r="K145" s="2">
        <f t="shared" si="12"/>
        <v>2367.7653333333337</v>
      </c>
      <c r="L145" s="2">
        <f t="shared" si="13"/>
        <v>2369.2051612903224</v>
      </c>
      <c r="M145" s="4">
        <f t="shared" si="14"/>
        <v>1.3478969150216732E-2</v>
      </c>
      <c r="N145" s="2" t="str">
        <f>TEXT(Table3[[#This Row],[Date]],"YYYY-MM")</f>
        <v>2025-04</v>
      </c>
      <c r="O145" s="2">
        <f>O144+Table3[[#This Row],[Volume]]</f>
        <v>43956159</v>
      </c>
    </row>
    <row r="146" spans="1:15" x14ac:dyDescent="0.35">
      <c r="A146" s="3" t="s">
        <v>43</v>
      </c>
      <c r="B146" s="2" t="s">
        <v>72</v>
      </c>
      <c r="C146" s="2">
        <v>2357.31</v>
      </c>
      <c r="D146" s="2">
        <v>2370.19</v>
      </c>
      <c r="E146" s="2">
        <v>2341.67</v>
      </c>
      <c r="F146" s="2">
        <v>2358.69</v>
      </c>
      <c r="G146" s="2">
        <v>2357.12</v>
      </c>
      <c r="H146" s="2">
        <v>323007</v>
      </c>
      <c r="I146" s="2">
        <f t="shared" si="10"/>
        <v>5.8541303434851981E-4</v>
      </c>
      <c r="J146" s="2">
        <f t="shared" si="11"/>
        <v>2368.5262500000003</v>
      </c>
      <c r="K146" s="2">
        <f t="shared" si="12"/>
        <v>2367.652</v>
      </c>
      <c r="L146" s="2">
        <f t="shared" si="13"/>
        <v>2369.6570967741941</v>
      </c>
      <c r="M146" s="4">
        <f t="shared" si="14"/>
        <v>1.2098536043201777E-2</v>
      </c>
      <c r="N146" s="2" t="str">
        <f>TEXT(Table3[[#This Row],[Date]],"YYYY-MM")</f>
        <v>2025-04</v>
      </c>
      <c r="O146" s="2">
        <f>O145+Table3[[#This Row],[Volume]]</f>
        <v>44279166</v>
      </c>
    </row>
    <row r="147" spans="1:15" x14ac:dyDescent="0.35">
      <c r="A147" s="3" t="s">
        <v>42</v>
      </c>
      <c r="B147" s="2" t="s">
        <v>72</v>
      </c>
      <c r="C147" s="2">
        <v>2357.1</v>
      </c>
      <c r="D147" s="2">
        <v>2368.3000000000002</v>
      </c>
      <c r="E147" s="2">
        <v>2350.27</v>
      </c>
      <c r="F147" s="2">
        <v>2363.9899999999998</v>
      </c>
      <c r="G147" s="2">
        <v>2362.71</v>
      </c>
      <c r="H147" s="2">
        <v>239573</v>
      </c>
      <c r="I147" s="2">
        <f t="shared" si="10"/>
        <v>2.9230834500020672E-3</v>
      </c>
      <c r="J147" s="2">
        <f t="shared" si="11"/>
        <v>2367.3562499999998</v>
      </c>
      <c r="K147" s="2">
        <f t="shared" si="12"/>
        <v>2369.1946666666672</v>
      </c>
      <c r="L147" s="2">
        <f t="shared" si="13"/>
        <v>2370.2241935483876</v>
      </c>
      <c r="M147" s="4">
        <f t="shared" si="14"/>
        <v>7.6492299859998308E-3</v>
      </c>
      <c r="N147" s="2" t="str">
        <f>TEXT(Table3[[#This Row],[Date]],"YYYY-MM")</f>
        <v>2025-04</v>
      </c>
      <c r="O147" s="2">
        <f>O146+Table3[[#This Row],[Volume]]</f>
        <v>44518739</v>
      </c>
    </row>
    <row r="148" spans="1:15" x14ac:dyDescent="0.35">
      <c r="A148" s="3" t="s">
        <v>41</v>
      </c>
      <c r="B148" s="2" t="s">
        <v>72</v>
      </c>
      <c r="C148" s="2">
        <v>2376.71</v>
      </c>
      <c r="D148" s="2">
        <v>2389.8000000000002</v>
      </c>
      <c r="E148" s="2">
        <v>2367.04</v>
      </c>
      <c r="F148" s="2">
        <v>2375.33</v>
      </c>
      <c r="G148" s="2">
        <v>2375.77</v>
      </c>
      <c r="H148" s="2">
        <v>171855</v>
      </c>
      <c r="I148" s="2">
        <f t="shared" si="10"/>
        <v>-5.8063457468522E-4</v>
      </c>
      <c r="J148" s="2">
        <f t="shared" si="11"/>
        <v>2369.17</v>
      </c>
      <c r="K148" s="2">
        <f t="shared" si="12"/>
        <v>2370.0213333333331</v>
      </c>
      <c r="L148" s="2">
        <f t="shared" si="13"/>
        <v>2370.2603225806456</v>
      </c>
      <c r="M148" s="4">
        <f t="shared" si="14"/>
        <v>9.5762629853874542E-3</v>
      </c>
      <c r="N148" s="2" t="str">
        <f>TEXT(Table3[[#This Row],[Date]],"YYYY-MM")</f>
        <v>2025-04</v>
      </c>
      <c r="O148" s="2">
        <f>O147+Table3[[#This Row],[Volume]]</f>
        <v>44690594</v>
      </c>
    </row>
    <row r="149" spans="1:15" x14ac:dyDescent="0.35">
      <c r="A149" s="3" t="s">
        <v>40</v>
      </c>
      <c r="B149" s="2" t="s">
        <v>72</v>
      </c>
      <c r="C149" s="2">
        <v>2359.46</v>
      </c>
      <c r="D149" s="2">
        <v>2371.75</v>
      </c>
      <c r="E149" s="2">
        <v>2350.61</v>
      </c>
      <c r="F149" s="2">
        <v>2359.7800000000002</v>
      </c>
      <c r="G149" s="2">
        <v>2358.92</v>
      </c>
      <c r="H149" s="2">
        <v>363760</v>
      </c>
      <c r="I149" s="2">
        <f t="shared" si="10"/>
        <v>1.3562425300711338E-4</v>
      </c>
      <c r="J149" s="2">
        <f t="shared" si="11"/>
        <v>2367.2162499999999</v>
      </c>
      <c r="K149" s="2">
        <f t="shared" si="12"/>
        <v>2370.0553333333332</v>
      </c>
      <c r="L149" s="2">
        <f t="shared" si="13"/>
        <v>2370.0409677419357</v>
      </c>
      <c r="M149" s="4">
        <f t="shared" si="14"/>
        <v>8.9596772142777892E-3</v>
      </c>
      <c r="N149" s="2" t="str">
        <f>TEXT(Table3[[#This Row],[Date]],"YYYY-MM")</f>
        <v>2025-04</v>
      </c>
      <c r="O149" s="2">
        <f>O148+Table3[[#This Row],[Volume]]</f>
        <v>45054354</v>
      </c>
    </row>
    <row r="150" spans="1:15" x14ac:dyDescent="0.35">
      <c r="A150" s="3" t="s">
        <v>39</v>
      </c>
      <c r="B150" s="2" t="s">
        <v>72</v>
      </c>
      <c r="C150" s="2">
        <v>2364.4699999999998</v>
      </c>
      <c r="D150" s="2">
        <v>2383.38</v>
      </c>
      <c r="E150" s="2">
        <v>2358.5700000000002</v>
      </c>
      <c r="F150" s="2">
        <v>2372.94</v>
      </c>
      <c r="G150" s="2">
        <v>2374.6799999999998</v>
      </c>
      <c r="H150" s="2">
        <v>144913</v>
      </c>
      <c r="I150" s="2">
        <f t="shared" si="10"/>
        <v>3.5821981247384214E-3</v>
      </c>
      <c r="J150" s="2">
        <f t="shared" si="11"/>
        <v>2369.9100000000003</v>
      </c>
      <c r="K150" s="2">
        <f t="shared" si="12"/>
        <v>2369.9273333333335</v>
      </c>
      <c r="L150" s="2">
        <f t="shared" si="13"/>
        <v>2370.2264516129035</v>
      </c>
      <c r="M150" s="4">
        <f t="shared" si="14"/>
        <v>1.0492837718389299E-2</v>
      </c>
      <c r="N150" s="2" t="str">
        <f>TEXT(Table3[[#This Row],[Date]],"YYYY-MM")</f>
        <v>2025-04</v>
      </c>
      <c r="O150" s="2">
        <f>O149+Table3[[#This Row],[Volume]]</f>
        <v>45199267</v>
      </c>
    </row>
    <row r="151" spans="1:15" x14ac:dyDescent="0.35">
      <c r="A151" s="3" t="s">
        <v>38</v>
      </c>
      <c r="B151" s="2" t="s">
        <v>72</v>
      </c>
      <c r="C151" s="2">
        <v>2377.23</v>
      </c>
      <c r="D151" s="2">
        <v>2391.35</v>
      </c>
      <c r="E151" s="2">
        <v>2360.7600000000002</v>
      </c>
      <c r="F151" s="2">
        <v>2388.25</v>
      </c>
      <c r="G151" s="2">
        <v>2389.5</v>
      </c>
      <c r="H151" s="2">
        <v>142158</v>
      </c>
      <c r="I151" s="2">
        <f t="shared" si="10"/>
        <v>4.6356473710999699E-3</v>
      </c>
      <c r="J151" s="2">
        <f t="shared" si="11"/>
        <v>2370.0324999999998</v>
      </c>
      <c r="K151" s="2">
        <f t="shared" si="12"/>
        <v>2370.7640000000001</v>
      </c>
      <c r="L151" s="2">
        <f t="shared" si="13"/>
        <v>2369.6235483870964</v>
      </c>
      <c r="M151" s="4">
        <f t="shared" si="14"/>
        <v>1.2867917702536015E-2</v>
      </c>
      <c r="N151" s="2" t="str">
        <f>TEXT(Table3[[#This Row],[Date]],"YYYY-MM")</f>
        <v>2025-04</v>
      </c>
      <c r="O151" s="2">
        <f>O150+Table3[[#This Row],[Volume]]</f>
        <v>45341425</v>
      </c>
    </row>
    <row r="152" spans="1:15" x14ac:dyDescent="0.35">
      <c r="A152" s="3" t="s">
        <v>37</v>
      </c>
      <c r="B152" s="2" t="s">
        <v>72</v>
      </c>
      <c r="C152" s="2">
        <v>2362.46</v>
      </c>
      <c r="D152" s="2">
        <v>2372.58</v>
      </c>
      <c r="E152" s="2">
        <v>2351.7600000000002</v>
      </c>
      <c r="F152" s="2">
        <v>2362.0700000000002</v>
      </c>
      <c r="G152" s="2">
        <v>2361.67</v>
      </c>
      <c r="H152" s="2">
        <v>299661</v>
      </c>
      <c r="I152" s="2">
        <f t="shared" si="10"/>
        <v>-1.6508216012117567E-4</v>
      </c>
      <c r="J152" s="2">
        <f t="shared" si="11"/>
        <v>2367.4612499999998</v>
      </c>
      <c r="K152" s="2">
        <f t="shared" si="12"/>
        <v>2369.7179999999998</v>
      </c>
      <c r="L152" s="2">
        <f t="shared" si="13"/>
        <v>2386.1061290322577</v>
      </c>
      <c r="M152" s="4">
        <f t="shared" si="14"/>
        <v>8.8128476249332097E-3</v>
      </c>
      <c r="N152" s="2" t="str">
        <f>TEXT(Table3[[#This Row],[Date]],"YYYY-MM")</f>
        <v>2025-04</v>
      </c>
      <c r="O152" s="2">
        <f>O151+Table3[[#This Row],[Volume]]</f>
        <v>45641086</v>
      </c>
    </row>
    <row r="153" spans="1:15" x14ac:dyDescent="0.35">
      <c r="A153" s="3" t="s">
        <v>36</v>
      </c>
      <c r="B153" s="2" t="s">
        <v>72</v>
      </c>
      <c r="C153" s="2">
        <v>2360.12</v>
      </c>
      <c r="D153" s="2">
        <v>2370.8200000000002</v>
      </c>
      <c r="E153" s="2">
        <v>2342.17</v>
      </c>
      <c r="F153" s="2">
        <v>2367.7600000000002</v>
      </c>
      <c r="G153" s="2">
        <v>2367.84</v>
      </c>
      <c r="H153" s="2">
        <v>175933</v>
      </c>
      <c r="I153" s="2">
        <f t="shared" si="10"/>
        <v>3.2371235360915242E-3</v>
      </c>
      <c r="J153" s="2">
        <f t="shared" si="11"/>
        <v>2366.8012499999995</v>
      </c>
      <c r="K153" s="2">
        <f t="shared" si="12"/>
        <v>2370.317333333333</v>
      </c>
      <c r="L153" s="2">
        <f t="shared" si="13"/>
        <v>2403.869677419355</v>
      </c>
      <c r="M153" s="4">
        <f t="shared" si="14"/>
        <v>1.2139213260342733E-2</v>
      </c>
      <c r="N153" s="2" t="str">
        <f>TEXT(Table3[[#This Row],[Date]],"YYYY-MM")</f>
        <v>2025-04</v>
      </c>
      <c r="O153" s="2">
        <f>O152+Table3[[#This Row],[Volume]]</f>
        <v>45817019</v>
      </c>
    </row>
    <row r="154" spans="1:15" x14ac:dyDescent="0.35">
      <c r="A154" s="3" t="s">
        <v>35</v>
      </c>
      <c r="B154" s="2" t="s">
        <v>72</v>
      </c>
      <c r="C154" s="2">
        <v>2354.0700000000002</v>
      </c>
      <c r="D154" s="2">
        <v>2360.17</v>
      </c>
      <c r="E154" s="2">
        <v>2340.02</v>
      </c>
      <c r="F154" s="2">
        <v>2347.09</v>
      </c>
      <c r="G154" s="2">
        <v>2347.7600000000002</v>
      </c>
      <c r="H154" s="2">
        <v>331121</v>
      </c>
      <c r="I154" s="2">
        <f t="shared" si="10"/>
        <v>-2.965077504067431E-3</v>
      </c>
      <c r="J154" s="2">
        <f t="shared" si="11"/>
        <v>2368.3537500000002</v>
      </c>
      <c r="K154" s="2">
        <f t="shared" si="12"/>
        <v>2370.4119999999998</v>
      </c>
      <c r="L154" s="2">
        <f t="shared" si="13"/>
        <v>2420.6396774193549</v>
      </c>
      <c r="M154" s="4">
        <f t="shared" si="14"/>
        <v>8.5596435110256233E-3</v>
      </c>
      <c r="N154" s="2" t="str">
        <f>TEXT(Table3[[#This Row],[Date]],"YYYY-MM")</f>
        <v>2025-04</v>
      </c>
      <c r="O154" s="2">
        <f>O153+Table3[[#This Row],[Volume]]</f>
        <v>46148140</v>
      </c>
    </row>
    <row r="155" spans="1:15" x14ac:dyDescent="0.35">
      <c r="A155" s="3" t="s">
        <v>34</v>
      </c>
      <c r="B155" s="2" t="s">
        <v>72</v>
      </c>
      <c r="C155" s="2">
        <v>2382.9499999999998</v>
      </c>
      <c r="D155" s="2">
        <v>2393.7800000000002</v>
      </c>
      <c r="E155" s="2">
        <v>2371.2199999999998</v>
      </c>
      <c r="F155" s="2">
        <v>2378.27</v>
      </c>
      <c r="G155" s="2">
        <v>2377.2199999999998</v>
      </c>
      <c r="H155" s="2">
        <v>116832</v>
      </c>
      <c r="I155" s="2">
        <f t="shared" si="10"/>
        <v>-1.963952244067159E-3</v>
      </c>
      <c r="J155" s="2">
        <f t="shared" si="11"/>
        <v>2371.7725</v>
      </c>
      <c r="K155" s="2">
        <f t="shared" si="12"/>
        <v>2372.4466666666663</v>
      </c>
      <c r="L155" s="2">
        <f t="shared" si="13"/>
        <v>2437.5629032258066</v>
      </c>
      <c r="M155" s="4">
        <f t="shared" si="14"/>
        <v>9.4672569714011629E-3</v>
      </c>
      <c r="N155" s="2" t="str">
        <f>TEXT(Table3[[#This Row],[Date]],"YYYY-MM")</f>
        <v>2025-04</v>
      </c>
      <c r="O155" s="2">
        <f>O154+Table3[[#This Row],[Volume]]</f>
        <v>46264972</v>
      </c>
    </row>
    <row r="156" spans="1:15" x14ac:dyDescent="0.35">
      <c r="A156" s="3" t="s">
        <v>33</v>
      </c>
      <c r="B156" s="2" t="s">
        <v>72</v>
      </c>
      <c r="C156" s="2">
        <v>2368.1999999999998</v>
      </c>
      <c r="D156" s="2">
        <v>2373.29</v>
      </c>
      <c r="E156" s="2">
        <v>2358.33</v>
      </c>
      <c r="F156" s="2">
        <v>2360.67</v>
      </c>
      <c r="G156" s="2">
        <v>2360.14</v>
      </c>
      <c r="H156" s="2">
        <v>475866</v>
      </c>
      <c r="I156" s="2">
        <f t="shared" si="10"/>
        <v>-3.1796300988091151E-3</v>
      </c>
      <c r="J156" s="2">
        <f t="shared" si="11"/>
        <v>2371.6549999999997</v>
      </c>
      <c r="K156" s="2">
        <f t="shared" si="12"/>
        <v>2372.6339999999996</v>
      </c>
      <c r="L156" s="2">
        <f t="shared" si="13"/>
        <v>2455.1474193548388</v>
      </c>
      <c r="M156" s="4">
        <f t="shared" si="14"/>
        <v>6.3170340342876604E-3</v>
      </c>
      <c r="N156" s="2" t="str">
        <f>TEXT(Table3[[#This Row],[Date]],"YYYY-MM")</f>
        <v>2025-04</v>
      </c>
      <c r="O156" s="2">
        <f>O155+Table3[[#This Row],[Volume]]</f>
        <v>46740838</v>
      </c>
    </row>
    <row r="157" spans="1:15" x14ac:dyDescent="0.35">
      <c r="A157" s="3" t="s">
        <v>32</v>
      </c>
      <c r="B157" s="2" t="s">
        <v>72</v>
      </c>
      <c r="C157" s="2">
        <v>2372.9699999999998</v>
      </c>
      <c r="D157" s="2">
        <v>2389.94</v>
      </c>
      <c r="E157" s="2">
        <v>2361.44</v>
      </c>
      <c r="F157" s="2">
        <v>2379.1999999999998</v>
      </c>
      <c r="G157" s="2">
        <v>2380.4699999999998</v>
      </c>
      <c r="H157" s="2">
        <v>179406</v>
      </c>
      <c r="I157" s="2">
        <f t="shared" si="10"/>
        <v>2.6254019224853323E-3</v>
      </c>
      <c r="J157" s="2">
        <f t="shared" si="11"/>
        <v>2371.2624999999998</v>
      </c>
      <c r="K157" s="2">
        <f t="shared" si="12"/>
        <v>2374.252</v>
      </c>
      <c r="L157" s="2">
        <f t="shared" si="13"/>
        <v>2472.171935483871</v>
      </c>
      <c r="M157" s="4">
        <f t="shared" si="14"/>
        <v>1.2010265616505899E-2</v>
      </c>
      <c r="N157" s="2" t="str">
        <f>TEXT(Table3[[#This Row],[Date]],"YYYY-MM")</f>
        <v>2025-04</v>
      </c>
      <c r="O157" s="2">
        <f>O156+Table3[[#This Row],[Volume]]</f>
        <v>46920244</v>
      </c>
    </row>
    <row r="158" spans="1:15" x14ac:dyDescent="0.35">
      <c r="A158" s="3" t="s">
        <v>31</v>
      </c>
      <c r="B158" s="2" t="s">
        <v>72</v>
      </c>
      <c r="C158" s="2">
        <v>2372.64</v>
      </c>
      <c r="D158" s="2">
        <v>2383.6999999999998</v>
      </c>
      <c r="E158" s="2">
        <v>2362.73</v>
      </c>
      <c r="F158" s="2">
        <v>2374.9899999999998</v>
      </c>
      <c r="G158" s="2">
        <v>2375.66</v>
      </c>
      <c r="H158" s="2">
        <v>323905</v>
      </c>
      <c r="I158" s="2">
        <f t="shared" si="10"/>
        <v>9.9045788657356752E-4</v>
      </c>
      <c r="J158" s="2">
        <f t="shared" si="11"/>
        <v>2372.1075000000001</v>
      </c>
      <c r="K158" s="2">
        <f t="shared" si="12"/>
        <v>2372.174</v>
      </c>
      <c r="L158" s="2">
        <f t="shared" si="13"/>
        <v>2488.2148387096777</v>
      </c>
      <c r="M158" s="4">
        <f t="shared" si="14"/>
        <v>8.8382561197652403E-3</v>
      </c>
      <c r="N158" s="2" t="str">
        <f>TEXT(Table3[[#This Row],[Date]],"YYYY-MM")</f>
        <v>2025-04</v>
      </c>
      <c r="O158" s="2">
        <f>O157+Table3[[#This Row],[Volume]]</f>
        <v>47244149</v>
      </c>
    </row>
    <row r="159" spans="1:15" x14ac:dyDescent="0.35">
      <c r="A159" s="3" t="s">
        <v>30</v>
      </c>
      <c r="B159" s="2" t="s">
        <v>72</v>
      </c>
      <c r="C159" s="2">
        <v>2366.36</v>
      </c>
      <c r="D159" s="2">
        <v>2384.42</v>
      </c>
      <c r="E159" s="2">
        <v>2349.62</v>
      </c>
      <c r="F159" s="2">
        <v>2368.66</v>
      </c>
      <c r="G159" s="2">
        <v>2368.9299999999998</v>
      </c>
      <c r="H159" s="2">
        <v>299384</v>
      </c>
      <c r="I159" s="2">
        <f t="shared" si="10"/>
        <v>9.7195692963020295E-4</v>
      </c>
      <c r="J159" s="2">
        <f t="shared" si="11"/>
        <v>2371.8762500000003</v>
      </c>
      <c r="K159" s="2">
        <f t="shared" si="12"/>
        <v>2371.5873333333334</v>
      </c>
      <c r="L159" s="2">
        <f t="shared" si="13"/>
        <v>2504.552580645161</v>
      </c>
      <c r="M159" s="4">
        <f t="shared" si="14"/>
        <v>1.4706130935276196E-2</v>
      </c>
      <c r="N159" s="2" t="str">
        <f>TEXT(Table3[[#This Row],[Date]],"YYYY-MM")</f>
        <v>2025-04</v>
      </c>
      <c r="O159" s="2">
        <f>O158+Table3[[#This Row],[Volume]]</f>
        <v>47543533</v>
      </c>
    </row>
    <row r="160" spans="1:15" x14ac:dyDescent="0.35">
      <c r="A160" s="3" t="s">
        <v>29</v>
      </c>
      <c r="B160" s="2" t="s">
        <v>72</v>
      </c>
      <c r="C160" s="2">
        <v>2359.2800000000002</v>
      </c>
      <c r="D160" s="2">
        <v>2374.15</v>
      </c>
      <c r="E160" s="2">
        <v>2339.29</v>
      </c>
      <c r="F160" s="2">
        <v>2358.1999999999998</v>
      </c>
      <c r="G160" s="2">
        <v>2356.39</v>
      </c>
      <c r="H160" s="2">
        <v>199996</v>
      </c>
      <c r="I160" s="2">
        <f t="shared" si="10"/>
        <v>-4.5776677630479716E-4</v>
      </c>
      <c r="J160" s="2">
        <f t="shared" si="11"/>
        <v>2372.0925000000002</v>
      </c>
      <c r="K160" s="2">
        <f t="shared" si="12"/>
        <v>2371.4333333333334</v>
      </c>
      <c r="L160" s="2">
        <f t="shared" si="13"/>
        <v>2521.338709677419</v>
      </c>
      <c r="M160" s="4">
        <f t="shared" si="14"/>
        <v>1.4775694279610781E-2</v>
      </c>
      <c r="N160" s="2" t="str">
        <f>TEXT(Table3[[#This Row],[Date]],"YYYY-MM")</f>
        <v>2025-04</v>
      </c>
      <c r="O160" s="2">
        <f>O159+Table3[[#This Row],[Volume]]</f>
        <v>47743529</v>
      </c>
    </row>
    <row r="161" spans="1:15" x14ac:dyDescent="0.35">
      <c r="A161" s="3" t="s">
        <v>28</v>
      </c>
      <c r="B161" s="2" t="s">
        <v>72</v>
      </c>
      <c r="C161" s="2">
        <v>2378.06</v>
      </c>
      <c r="D161" s="2">
        <v>2386.3000000000002</v>
      </c>
      <c r="E161" s="2">
        <v>2363.1799999999998</v>
      </c>
      <c r="F161" s="2">
        <v>2380.6799999999998</v>
      </c>
      <c r="G161" s="2">
        <v>2380.2600000000002</v>
      </c>
      <c r="H161" s="2">
        <v>465717</v>
      </c>
      <c r="I161" s="2">
        <f t="shared" si="10"/>
        <v>1.1017383917983107E-3</v>
      </c>
      <c r="J161" s="2">
        <f t="shared" si="11"/>
        <v>2373.7012500000001</v>
      </c>
      <c r="K161" s="2">
        <f t="shared" si="12"/>
        <v>2371.4993333333332</v>
      </c>
      <c r="L161" s="2">
        <f t="shared" si="13"/>
        <v>2539.3367741935481</v>
      </c>
      <c r="M161" s="4">
        <f t="shared" si="14"/>
        <v>9.7222105413657962E-3</v>
      </c>
      <c r="N161" s="2" t="str">
        <f>TEXT(Table3[[#This Row],[Date]],"YYYY-MM")</f>
        <v>2025-04</v>
      </c>
      <c r="O161" s="2">
        <f>O160+Table3[[#This Row],[Volume]]</f>
        <v>48209246</v>
      </c>
    </row>
    <row r="162" spans="1:15" x14ac:dyDescent="0.35">
      <c r="A162" s="3" t="s">
        <v>27</v>
      </c>
      <c r="B162" s="2" t="s">
        <v>72</v>
      </c>
      <c r="C162" s="2">
        <v>2366.69</v>
      </c>
      <c r="D162" s="2">
        <v>2380.96</v>
      </c>
      <c r="E162" s="2">
        <v>2348.66</v>
      </c>
      <c r="F162" s="2">
        <v>2374.83</v>
      </c>
      <c r="G162" s="2">
        <v>2375.11</v>
      </c>
      <c r="H162" s="2">
        <v>201653</v>
      </c>
      <c r="I162" s="2">
        <f t="shared" si="10"/>
        <v>3.439402710114072E-3</v>
      </c>
      <c r="J162" s="2">
        <f t="shared" si="11"/>
        <v>2373.4537499999997</v>
      </c>
      <c r="K162" s="2">
        <f t="shared" si="12"/>
        <v>2370.9553333333329</v>
      </c>
      <c r="L162" s="2">
        <f t="shared" si="13"/>
        <v>2555.9493548387095</v>
      </c>
      <c r="M162" s="4">
        <f t="shared" si="14"/>
        <v>1.3647752768634752E-2</v>
      </c>
      <c r="N162" s="2" t="str">
        <f>TEXT(Table3[[#This Row],[Date]],"YYYY-MM")</f>
        <v>2025-04</v>
      </c>
      <c r="O162" s="2">
        <f>O161+Table3[[#This Row],[Volume]]</f>
        <v>48410899</v>
      </c>
    </row>
    <row r="163" spans="1:15" x14ac:dyDescent="0.35">
      <c r="A163" s="3" t="s">
        <v>26</v>
      </c>
      <c r="B163" s="2" t="s">
        <v>72</v>
      </c>
      <c r="C163" s="2">
        <v>2360.7600000000002</v>
      </c>
      <c r="D163" s="2">
        <v>2378.7800000000002</v>
      </c>
      <c r="E163" s="2">
        <v>2353.1</v>
      </c>
      <c r="F163" s="2">
        <v>2375.5100000000002</v>
      </c>
      <c r="G163" s="2">
        <v>2376.2800000000002</v>
      </c>
      <c r="H163" s="2">
        <v>382662</v>
      </c>
      <c r="I163" s="2">
        <f t="shared" si="10"/>
        <v>6.2479879360883778E-3</v>
      </c>
      <c r="J163" s="2">
        <f t="shared" si="11"/>
        <v>2374.0687499999999</v>
      </c>
      <c r="K163" s="2">
        <f t="shared" si="12"/>
        <v>2370.9279999999999</v>
      </c>
      <c r="L163" s="2">
        <f t="shared" si="13"/>
        <v>2572.6806451612902</v>
      </c>
      <c r="M163" s="4">
        <f t="shared" si="14"/>
        <v>1.0877852894830601E-2</v>
      </c>
      <c r="N163" s="2" t="str">
        <f>TEXT(Table3[[#This Row],[Date]],"YYYY-MM")</f>
        <v>2025-04</v>
      </c>
      <c r="O163" s="2">
        <f>O162+Table3[[#This Row],[Volume]]</f>
        <v>48793561</v>
      </c>
    </row>
    <row r="164" spans="1:15" x14ac:dyDescent="0.35">
      <c r="A164" s="3" t="s">
        <v>25</v>
      </c>
      <c r="B164" s="2" t="s">
        <v>72</v>
      </c>
      <c r="C164" s="2">
        <v>2357.62</v>
      </c>
      <c r="D164" s="2">
        <v>2372.7199999999998</v>
      </c>
      <c r="E164" s="2">
        <v>2338.0700000000002</v>
      </c>
      <c r="F164" s="2">
        <v>2358.62</v>
      </c>
      <c r="G164" s="2">
        <v>2357</v>
      </c>
      <c r="H164" s="2">
        <v>413641</v>
      </c>
      <c r="I164" s="2">
        <f t="shared" si="10"/>
        <v>4.2415656467115144E-4</v>
      </c>
      <c r="J164" s="2">
        <f t="shared" si="11"/>
        <v>2375.085</v>
      </c>
      <c r="K164" s="2">
        <f t="shared" si="12"/>
        <v>2370.098</v>
      </c>
      <c r="L164" s="2">
        <f t="shared" si="13"/>
        <v>2589.3396774193548</v>
      </c>
      <c r="M164" s="4">
        <f t="shared" si="14"/>
        <v>1.4697024965855243E-2</v>
      </c>
      <c r="N164" s="2" t="str">
        <f>TEXT(Table3[[#This Row],[Date]],"YYYY-MM")</f>
        <v>2025-04</v>
      </c>
      <c r="O164" s="2">
        <f>O163+Table3[[#This Row],[Volume]]</f>
        <v>49207202</v>
      </c>
    </row>
    <row r="165" spans="1:15" x14ac:dyDescent="0.35">
      <c r="A165" s="3" t="s">
        <v>24</v>
      </c>
      <c r="B165" s="2" t="s">
        <v>72</v>
      </c>
      <c r="C165" s="2">
        <v>2387.88</v>
      </c>
      <c r="D165" s="2">
        <v>2394.9699999999998</v>
      </c>
      <c r="E165" s="2">
        <v>2382.4299999999998</v>
      </c>
      <c r="F165" s="2">
        <v>2388</v>
      </c>
      <c r="G165" s="2">
        <v>2387.23</v>
      </c>
      <c r="H165" s="2">
        <v>382897</v>
      </c>
      <c r="I165" s="2">
        <f t="shared" si="10"/>
        <v>5.0253781597019468E-5</v>
      </c>
      <c r="J165" s="2">
        <f t="shared" si="11"/>
        <v>2374.1224999999999</v>
      </c>
      <c r="K165" s="2">
        <f t="shared" si="12"/>
        <v>2370.8960000000002</v>
      </c>
      <c r="L165" s="2">
        <f t="shared" si="13"/>
        <v>2606.403870967742</v>
      </c>
      <c r="M165" s="4">
        <f t="shared" si="14"/>
        <v>5.251520176893296E-3</v>
      </c>
      <c r="N165" s="2" t="str">
        <f>TEXT(Table3[[#This Row],[Date]],"YYYY-MM")</f>
        <v>2025-03</v>
      </c>
      <c r="O165" s="2">
        <f>O164+Table3[[#This Row],[Volume]]</f>
        <v>49590099</v>
      </c>
    </row>
    <row r="166" spans="1:15" x14ac:dyDescent="0.35">
      <c r="A166" s="3" t="s">
        <v>23</v>
      </c>
      <c r="B166" s="2" t="s">
        <v>72</v>
      </c>
      <c r="C166" s="2">
        <v>2368.39</v>
      </c>
      <c r="D166" s="2">
        <v>2386.41</v>
      </c>
      <c r="E166" s="2">
        <v>2356.5700000000002</v>
      </c>
      <c r="F166" s="2">
        <v>2373.75</v>
      </c>
      <c r="G166" s="2">
        <v>2373.81</v>
      </c>
      <c r="H166" s="2">
        <v>161279</v>
      </c>
      <c r="I166" s="2">
        <f t="shared" si="10"/>
        <v>2.2631407834014365E-3</v>
      </c>
      <c r="J166" s="2">
        <f t="shared" si="11"/>
        <v>2371.5762500000001</v>
      </c>
      <c r="K166" s="2">
        <f t="shared" si="12"/>
        <v>2369.3919999999998</v>
      </c>
      <c r="L166" s="2">
        <f t="shared" si="13"/>
        <v>2622.4009677419358</v>
      </c>
      <c r="M166" s="4">
        <f t="shared" si="14"/>
        <v>1.2599276301622492E-2</v>
      </c>
      <c r="N166" s="2" t="str">
        <f>TEXT(Table3[[#This Row],[Date]],"YYYY-MM")</f>
        <v>2025-03</v>
      </c>
      <c r="O166" s="2">
        <f>O165+Table3[[#This Row],[Volume]]</f>
        <v>49751378</v>
      </c>
    </row>
    <row r="167" spans="1:15" x14ac:dyDescent="0.35">
      <c r="A167" s="3" t="s">
        <v>22</v>
      </c>
      <c r="B167" s="2" t="s">
        <v>72</v>
      </c>
      <c r="C167" s="2">
        <v>2374.33</v>
      </c>
      <c r="D167" s="2">
        <v>2384.0700000000002</v>
      </c>
      <c r="E167" s="2">
        <v>2361.7199999999998</v>
      </c>
      <c r="F167" s="2">
        <v>2372.4899999999998</v>
      </c>
      <c r="G167" s="2">
        <v>2370.66</v>
      </c>
      <c r="H167" s="2">
        <v>381289</v>
      </c>
      <c r="I167" s="2">
        <f t="shared" si="10"/>
        <v>-7.7495546111961929E-4</v>
      </c>
      <c r="J167" s="2">
        <f t="shared" si="11"/>
        <v>2370.6775000000002</v>
      </c>
      <c r="K167" s="2">
        <f t="shared" si="12"/>
        <v>2368.2039999999997</v>
      </c>
      <c r="L167" s="2">
        <f t="shared" si="13"/>
        <v>2638.8009677419359</v>
      </c>
      <c r="M167" s="4">
        <f t="shared" si="14"/>
        <v>9.4131818239252193E-3</v>
      </c>
      <c r="N167" s="2" t="str">
        <f>TEXT(Table3[[#This Row],[Date]],"YYYY-MM")</f>
        <v>2025-03</v>
      </c>
      <c r="O167" s="2">
        <f>O166+Table3[[#This Row],[Volume]]</f>
        <v>50132667</v>
      </c>
    </row>
    <row r="168" spans="1:15" x14ac:dyDescent="0.35">
      <c r="A168" s="3" t="s">
        <v>21</v>
      </c>
      <c r="B168" s="2" t="s">
        <v>72</v>
      </c>
      <c r="C168" s="2">
        <v>2367.48</v>
      </c>
      <c r="D168" s="2">
        <v>2386.5300000000002</v>
      </c>
      <c r="E168" s="2">
        <v>2361.89</v>
      </c>
      <c r="F168" s="2">
        <v>2370.77</v>
      </c>
      <c r="G168" s="2">
        <v>2369.2600000000002</v>
      </c>
      <c r="H168" s="2">
        <v>127508</v>
      </c>
      <c r="I168" s="2">
        <f t="shared" si="10"/>
        <v>1.3896632706506342E-3</v>
      </c>
      <c r="J168" s="2">
        <f t="shared" si="11"/>
        <v>2369.0175000000004</v>
      </c>
      <c r="K168" s="2">
        <f t="shared" si="12"/>
        <v>2403.5239999999999</v>
      </c>
      <c r="L168" s="2">
        <f t="shared" si="13"/>
        <v>2655.354838709678</v>
      </c>
      <c r="M168" s="4">
        <f t="shared" si="14"/>
        <v>1.0407690878064578E-2</v>
      </c>
      <c r="N168" s="2" t="str">
        <f>TEXT(Table3[[#This Row],[Date]],"YYYY-MM")</f>
        <v>2025-03</v>
      </c>
      <c r="O168" s="2">
        <f>O167+Table3[[#This Row],[Volume]]</f>
        <v>50260175</v>
      </c>
    </row>
    <row r="169" spans="1:15" x14ac:dyDescent="0.35">
      <c r="A169" s="3" t="s">
        <v>20</v>
      </c>
      <c r="B169" s="2" t="s">
        <v>72</v>
      </c>
      <c r="C169" s="2">
        <v>2377.3000000000002</v>
      </c>
      <c r="D169" s="2">
        <v>2385.39</v>
      </c>
      <c r="E169" s="2">
        <v>2370.62</v>
      </c>
      <c r="F169" s="2">
        <v>2379.1999999999998</v>
      </c>
      <c r="G169" s="2">
        <v>2378.2800000000002</v>
      </c>
      <c r="H169" s="2">
        <v>382205</v>
      </c>
      <c r="I169" s="2">
        <f t="shared" si="10"/>
        <v>7.9922601270333404E-4</v>
      </c>
      <c r="J169" s="2">
        <f t="shared" si="11"/>
        <v>2369.3724999999999</v>
      </c>
      <c r="K169" s="2">
        <f t="shared" si="12"/>
        <v>2439.7293333333337</v>
      </c>
      <c r="L169" s="2">
        <f t="shared" si="13"/>
        <v>2672.2858064516136</v>
      </c>
      <c r="M169" s="4">
        <f t="shared" si="14"/>
        <v>6.2129306355949944E-3</v>
      </c>
      <c r="N169" s="2" t="str">
        <f>TEXT(Table3[[#This Row],[Date]],"YYYY-MM")</f>
        <v>2025-03</v>
      </c>
      <c r="O169" s="2">
        <f>O168+Table3[[#This Row],[Volume]]</f>
        <v>50642380</v>
      </c>
    </row>
    <row r="170" spans="1:15" x14ac:dyDescent="0.35">
      <c r="A170" s="3" t="s">
        <v>19</v>
      </c>
      <c r="B170" s="2" t="s">
        <v>72</v>
      </c>
      <c r="C170" s="2">
        <v>2375.4699999999998</v>
      </c>
      <c r="D170" s="2">
        <v>2387.59</v>
      </c>
      <c r="E170" s="2">
        <v>2357.81</v>
      </c>
      <c r="F170" s="2">
        <v>2378.81</v>
      </c>
      <c r="G170" s="2">
        <v>2380.0300000000002</v>
      </c>
      <c r="H170" s="2">
        <v>168821</v>
      </c>
      <c r="I170" s="2">
        <f t="shared" si="10"/>
        <v>1.4060375420443727E-3</v>
      </c>
      <c r="J170" s="2">
        <f t="shared" si="11"/>
        <v>2368.9250000000002</v>
      </c>
      <c r="K170" s="2">
        <f t="shared" si="12"/>
        <v>2473.6913333333337</v>
      </c>
      <c r="L170" s="2">
        <f t="shared" si="13"/>
        <v>2688.9341935483876</v>
      </c>
      <c r="M170" s="4">
        <f t="shared" si="14"/>
        <v>1.2536466467688585E-2</v>
      </c>
      <c r="N170" s="2" t="str">
        <f>TEXT(Table3[[#This Row],[Date]],"YYYY-MM")</f>
        <v>2025-03</v>
      </c>
      <c r="O170" s="2">
        <f>O169+Table3[[#This Row],[Volume]]</f>
        <v>50811201</v>
      </c>
    </row>
    <row r="171" spans="1:15" x14ac:dyDescent="0.35">
      <c r="A171" s="3" t="s">
        <v>18</v>
      </c>
      <c r="B171" s="2" t="s">
        <v>72</v>
      </c>
      <c r="C171" s="2">
        <v>2382.0100000000002</v>
      </c>
      <c r="D171" s="2">
        <v>2389.52</v>
      </c>
      <c r="E171" s="2">
        <v>2374.5</v>
      </c>
      <c r="F171" s="2">
        <v>2386.2600000000002</v>
      </c>
      <c r="G171" s="2">
        <v>2384.41</v>
      </c>
      <c r="H171" s="2">
        <v>377502</v>
      </c>
      <c r="I171" s="2">
        <f t="shared" si="10"/>
        <v>1.7842074550484673E-3</v>
      </c>
      <c r="J171" s="2">
        <f t="shared" si="11"/>
        <v>2366.8999999999996</v>
      </c>
      <c r="K171" s="2">
        <f t="shared" si="12"/>
        <v>2506.5146666666665</v>
      </c>
      <c r="L171" s="2">
        <f t="shared" si="13"/>
        <v>2705.7948387096781</v>
      </c>
      <c r="M171" s="4">
        <f t="shared" si="14"/>
        <v>6.3055990529006936E-3</v>
      </c>
      <c r="N171" s="2" t="str">
        <f>TEXT(Table3[[#This Row],[Date]],"YYYY-MM")</f>
        <v>2025-03</v>
      </c>
      <c r="O171" s="2">
        <f>O170+Table3[[#This Row],[Volume]]</f>
        <v>51188703</v>
      </c>
    </row>
    <row r="172" spans="1:15" x14ac:dyDescent="0.35">
      <c r="A172" s="3" t="s">
        <v>17</v>
      </c>
      <c r="B172" s="2" t="s">
        <v>72</v>
      </c>
      <c r="C172" s="2">
        <v>2346.0500000000002</v>
      </c>
      <c r="D172" s="2">
        <v>2363.48</v>
      </c>
      <c r="E172" s="2">
        <v>2334.59</v>
      </c>
      <c r="F172" s="2">
        <v>2350.31</v>
      </c>
      <c r="G172" s="2">
        <v>2349.3000000000002</v>
      </c>
      <c r="H172" s="2">
        <v>387362</v>
      </c>
      <c r="I172" s="2">
        <f t="shared" si="10"/>
        <v>1.8158180771934798E-3</v>
      </c>
      <c r="J172" s="2">
        <f t="shared" si="11"/>
        <v>2364.9700000000003</v>
      </c>
      <c r="K172" s="2">
        <f t="shared" si="12"/>
        <v>2542.3766666666661</v>
      </c>
      <c r="L172" s="2">
        <f t="shared" si="13"/>
        <v>2721.6838709677422</v>
      </c>
      <c r="M172" s="4">
        <f t="shared" si="14"/>
        <v>1.2314315551671904E-2</v>
      </c>
      <c r="N172" s="2" t="str">
        <f>TEXT(Table3[[#This Row],[Date]],"YYYY-MM")</f>
        <v>2025-03</v>
      </c>
      <c r="O172" s="2">
        <f>O171+Table3[[#This Row],[Volume]]</f>
        <v>51576065</v>
      </c>
    </row>
    <row r="173" spans="1:15" x14ac:dyDescent="0.35">
      <c r="A173" s="3" t="s">
        <v>16</v>
      </c>
      <c r="B173" s="2" t="s">
        <v>72</v>
      </c>
      <c r="C173" s="2">
        <v>2362.3200000000002</v>
      </c>
      <c r="D173" s="2">
        <v>2381.87</v>
      </c>
      <c r="E173" s="2">
        <v>2350.5100000000002</v>
      </c>
      <c r="F173" s="2">
        <v>2367.92</v>
      </c>
      <c r="G173" s="2">
        <v>2366.86</v>
      </c>
      <c r="H173" s="2">
        <v>107274</v>
      </c>
      <c r="I173" s="2">
        <f t="shared" si="10"/>
        <v>2.3705509837786197E-3</v>
      </c>
      <c r="J173" s="2">
        <f t="shared" si="11"/>
        <v>2366.8912499999997</v>
      </c>
      <c r="K173" s="2">
        <f t="shared" si="12"/>
        <v>2578.2833333333328</v>
      </c>
      <c r="L173" s="2">
        <f t="shared" si="13"/>
        <v>2739.8706451612907</v>
      </c>
      <c r="M173" s="4">
        <f t="shared" si="14"/>
        <v>1.3275085509160347E-2</v>
      </c>
      <c r="N173" s="2" t="str">
        <f>TEXT(Table3[[#This Row],[Date]],"YYYY-MM")</f>
        <v>2025-03</v>
      </c>
      <c r="O173" s="2">
        <f>O172+Table3[[#This Row],[Volume]]</f>
        <v>51683339</v>
      </c>
    </row>
    <row r="174" spans="1:15" x14ac:dyDescent="0.35">
      <c r="A174" s="3" t="s">
        <v>15</v>
      </c>
      <c r="B174" s="2" t="s">
        <v>72</v>
      </c>
      <c r="C174" s="2">
        <v>2370.7399999999998</v>
      </c>
      <c r="D174" s="2">
        <v>2379.61</v>
      </c>
      <c r="E174" s="2">
        <v>2355.89</v>
      </c>
      <c r="F174" s="2">
        <v>2367.3200000000002</v>
      </c>
      <c r="G174" s="2">
        <v>2366.62</v>
      </c>
      <c r="H174" s="2">
        <v>353520</v>
      </c>
      <c r="I174" s="2">
        <f t="shared" si="10"/>
        <v>-1.442587546504306E-3</v>
      </c>
      <c r="J174" s="2">
        <f t="shared" si="11"/>
        <v>2365.5324999999993</v>
      </c>
      <c r="K174" s="2">
        <f t="shared" si="12"/>
        <v>2612.3459999999995</v>
      </c>
      <c r="L174" s="2">
        <f t="shared" si="13"/>
        <v>2756.89</v>
      </c>
      <c r="M174" s="4">
        <f t="shared" si="14"/>
        <v>1.0005314796224072E-2</v>
      </c>
      <c r="N174" s="2" t="str">
        <f>TEXT(Table3[[#This Row],[Date]],"YYYY-MM")</f>
        <v>2025-03</v>
      </c>
      <c r="O174" s="2">
        <f>O173+Table3[[#This Row],[Volume]]</f>
        <v>52036859</v>
      </c>
    </row>
    <row r="175" spans="1:15" x14ac:dyDescent="0.35">
      <c r="A175" s="3" t="s">
        <v>14</v>
      </c>
      <c r="B175" s="2" t="s">
        <v>72</v>
      </c>
      <c r="C175" s="2">
        <v>2374.7199999999998</v>
      </c>
      <c r="D175" s="2">
        <v>2385.11</v>
      </c>
      <c r="E175" s="2">
        <v>2360.83</v>
      </c>
      <c r="F175" s="2">
        <v>2358.73</v>
      </c>
      <c r="G175" s="2">
        <v>2357.38</v>
      </c>
      <c r="H175" s="2">
        <v>223269</v>
      </c>
      <c r="I175" s="2">
        <f t="shared" si="10"/>
        <v>-6.73342541436455E-3</v>
      </c>
      <c r="J175" s="2">
        <f t="shared" si="11"/>
        <v>2432.2624999999998</v>
      </c>
      <c r="K175" s="2">
        <f t="shared" si="12"/>
        <v>2646.7133333333331</v>
      </c>
      <c r="L175" s="2">
        <f t="shared" si="13"/>
        <v>2773.9367741935484</v>
      </c>
      <c r="M175" s="4">
        <f t="shared" si="14"/>
        <v>1.0224363293356775E-2</v>
      </c>
      <c r="N175" s="2" t="str">
        <f>TEXT(Table3[[#This Row],[Date]],"YYYY-MM")</f>
        <v>2025-03</v>
      </c>
      <c r="O175" s="2">
        <f>O174+Table3[[#This Row],[Volume]]</f>
        <v>52260128</v>
      </c>
    </row>
    <row r="176" spans="1:15" x14ac:dyDescent="0.35">
      <c r="A176" s="3" t="s">
        <v>13</v>
      </c>
      <c r="B176" s="2" t="s">
        <v>72</v>
      </c>
      <c r="C176" s="2">
        <v>2370.2399999999998</v>
      </c>
      <c r="D176" s="2">
        <v>2382.62</v>
      </c>
      <c r="E176" s="2">
        <v>2361.5300000000002</v>
      </c>
      <c r="F176" s="2">
        <v>2370.62</v>
      </c>
      <c r="G176" s="2">
        <v>2372.1</v>
      </c>
      <c r="H176" s="2">
        <v>419364</v>
      </c>
      <c r="I176" s="2">
        <f t="shared" si="10"/>
        <v>1.6032131767251804E-4</v>
      </c>
      <c r="J176" s="2">
        <f t="shared" si="11"/>
        <v>2501.6324999999997</v>
      </c>
      <c r="K176" s="2">
        <f t="shared" si="12"/>
        <v>2682.1746666666668</v>
      </c>
      <c r="L176" s="2">
        <f t="shared" si="13"/>
        <v>2790.7412903225813</v>
      </c>
      <c r="M176" s="4">
        <f t="shared" si="14"/>
        <v>8.8978331308220658E-3</v>
      </c>
      <c r="N176" s="2" t="str">
        <f>TEXT(Table3[[#This Row],[Date]],"YYYY-MM")</f>
        <v>2025-03</v>
      </c>
      <c r="O176" s="2">
        <f>O175+Table3[[#This Row],[Volume]]</f>
        <v>52679492</v>
      </c>
    </row>
    <row r="177" spans="1:15" x14ac:dyDescent="0.35">
      <c r="A177" s="3" t="s">
        <v>12</v>
      </c>
      <c r="B177" s="2" t="s">
        <v>72</v>
      </c>
      <c r="C177" s="2">
        <v>2371.94</v>
      </c>
      <c r="D177" s="2">
        <v>2379.64</v>
      </c>
      <c r="E177" s="2">
        <v>2363.38</v>
      </c>
      <c r="F177" s="2">
        <v>2372.81</v>
      </c>
      <c r="G177" s="2">
        <v>2374.6999999999998</v>
      </c>
      <c r="H177" s="2">
        <v>482417</v>
      </c>
      <c r="I177" s="2">
        <f t="shared" si="10"/>
        <v>3.6678836732796394E-4</v>
      </c>
      <c r="J177" s="2">
        <f t="shared" si="11"/>
        <v>2566.0837499999998</v>
      </c>
      <c r="K177" s="2">
        <f t="shared" si="12"/>
        <v>2718.3233333333337</v>
      </c>
      <c r="L177" s="2">
        <f t="shared" si="13"/>
        <v>2806.7516129032269</v>
      </c>
      <c r="M177" s="4">
        <f t="shared" si="14"/>
        <v>6.8551481066130519E-3</v>
      </c>
      <c r="N177" s="2" t="str">
        <f>TEXT(Table3[[#This Row],[Date]],"YYYY-MM")</f>
        <v>2025-03</v>
      </c>
      <c r="O177" s="2">
        <f>O176+Table3[[#This Row],[Volume]]</f>
        <v>53161909</v>
      </c>
    </row>
    <row r="178" spans="1:15" x14ac:dyDescent="0.35">
      <c r="A178" s="3" t="s">
        <v>11</v>
      </c>
      <c r="B178" s="2" t="s">
        <v>72</v>
      </c>
      <c r="C178" s="2">
        <v>2372.33</v>
      </c>
      <c r="D178" s="2">
        <v>2386.8000000000002</v>
      </c>
      <c r="E178" s="2">
        <v>2356.33</v>
      </c>
      <c r="F178" s="2">
        <v>2365.3000000000002</v>
      </c>
      <c r="G178" s="2">
        <v>2363.83</v>
      </c>
      <c r="H178" s="2">
        <v>227627</v>
      </c>
      <c r="I178" s="2">
        <f t="shared" si="10"/>
        <v>-2.9633314083621358E-3</v>
      </c>
      <c r="J178" s="2">
        <f t="shared" si="11"/>
        <v>2628.2937499999998</v>
      </c>
      <c r="K178" s="2">
        <f t="shared" si="12"/>
        <v>2753.0266666666666</v>
      </c>
      <c r="L178" s="2">
        <f t="shared" si="13"/>
        <v>2823.2532258064521</v>
      </c>
      <c r="M178" s="4">
        <f t="shared" si="14"/>
        <v>1.2843912946343997E-2</v>
      </c>
      <c r="N178" s="2" t="str">
        <f>TEXT(Table3[[#This Row],[Date]],"YYYY-MM")</f>
        <v>2025-03</v>
      </c>
      <c r="O178" s="2">
        <f>O177+Table3[[#This Row],[Volume]]</f>
        <v>53389536</v>
      </c>
    </row>
    <row r="179" spans="1:15" x14ac:dyDescent="0.35">
      <c r="A179" s="3" t="s">
        <v>10</v>
      </c>
      <c r="B179" s="2" t="s">
        <v>72</v>
      </c>
      <c r="C179" s="2">
        <v>2365.27</v>
      </c>
      <c r="D179" s="2">
        <v>2374.42</v>
      </c>
      <c r="E179" s="2">
        <v>2351.38</v>
      </c>
      <c r="F179" s="2">
        <v>2367.3200000000002</v>
      </c>
      <c r="G179" s="2">
        <v>2368.9699999999998</v>
      </c>
      <c r="H179" s="2">
        <v>305545</v>
      </c>
      <c r="I179" s="2">
        <f t="shared" si="10"/>
        <v>8.6670866328164727E-4</v>
      </c>
      <c r="J179" s="2">
        <f t="shared" si="11"/>
        <v>2698.1075000000001</v>
      </c>
      <c r="K179" s="2">
        <f t="shared" si="12"/>
        <v>2788.356666666667</v>
      </c>
      <c r="L179" s="2">
        <f t="shared" si="13"/>
        <v>2840.2880645161299</v>
      </c>
      <c r="M179" s="4">
        <f t="shared" si="14"/>
        <v>9.7409598058572442E-3</v>
      </c>
      <c r="N179" s="2" t="str">
        <f>TEXT(Table3[[#This Row],[Date]],"YYYY-MM")</f>
        <v>2025-03</v>
      </c>
      <c r="O179" s="2">
        <f>O178+Table3[[#This Row],[Volume]]</f>
        <v>53695081</v>
      </c>
    </row>
    <row r="180" spans="1:15" x14ac:dyDescent="0.35">
      <c r="A180" s="3" t="s">
        <v>9</v>
      </c>
      <c r="B180" s="2" t="s">
        <v>72</v>
      </c>
      <c r="C180" s="2">
        <v>2351.38</v>
      </c>
      <c r="D180" s="2">
        <v>2367.2600000000002</v>
      </c>
      <c r="E180" s="2">
        <v>2339.08</v>
      </c>
      <c r="F180" s="2">
        <v>2363.1799999999998</v>
      </c>
      <c r="G180" s="2">
        <v>2364.67</v>
      </c>
      <c r="H180" s="2">
        <v>151542</v>
      </c>
      <c r="I180" s="2">
        <f t="shared" si="10"/>
        <v>5.0183296617304423E-3</v>
      </c>
      <c r="J180" s="2">
        <f t="shared" si="11"/>
        <v>2762.9737500000001</v>
      </c>
      <c r="K180" s="2">
        <f t="shared" si="12"/>
        <v>2823.2726666666663</v>
      </c>
      <c r="L180" s="2">
        <f t="shared" si="13"/>
        <v>2856.8316129032269</v>
      </c>
      <c r="M180" s="4">
        <f t="shared" si="14"/>
        <v>1.1984451683692252E-2</v>
      </c>
      <c r="N180" s="2" t="str">
        <f>TEXT(Table3[[#This Row],[Date]],"YYYY-MM")</f>
        <v>2025-03</v>
      </c>
      <c r="O180" s="2">
        <f>O179+Table3[[#This Row],[Volume]]</f>
        <v>53846623</v>
      </c>
    </row>
    <row r="181" spans="1:15" x14ac:dyDescent="0.35">
      <c r="A181" s="3" t="s">
        <v>8</v>
      </c>
      <c r="B181" s="2" t="s">
        <v>72</v>
      </c>
      <c r="C181" s="2">
        <v>2354.7399999999998</v>
      </c>
      <c r="D181" s="2">
        <v>2374.5500000000002</v>
      </c>
      <c r="E181" s="2">
        <v>2349.14</v>
      </c>
      <c r="F181" s="2">
        <v>2354.52</v>
      </c>
      <c r="G181" s="2">
        <v>2355.9899999999998</v>
      </c>
      <c r="H181" s="2">
        <v>133075</v>
      </c>
      <c r="I181" s="2">
        <f t="shared" si="10"/>
        <v>-9.342857385520267E-5</v>
      </c>
      <c r="J181" s="2">
        <f t="shared" si="11"/>
        <v>2827.1150000000002</v>
      </c>
      <c r="K181" s="2">
        <f t="shared" si="12"/>
        <v>2858.027333333333</v>
      </c>
      <c r="L181" s="2">
        <f t="shared" si="13"/>
        <v>2873.1919354838719</v>
      </c>
      <c r="M181" s="4">
        <f t="shared" si="14"/>
        <v>1.0791000280285854E-2</v>
      </c>
      <c r="N181" s="2" t="str">
        <f>TEXT(Table3[[#This Row],[Date]],"YYYY-MM")</f>
        <v>2025-03</v>
      </c>
      <c r="O181" s="2">
        <f>O180+Table3[[#This Row],[Volume]]</f>
        <v>53979698</v>
      </c>
    </row>
    <row r="182" spans="1:15" x14ac:dyDescent="0.35">
      <c r="A182" s="3" t="s">
        <v>67</v>
      </c>
      <c r="B182" s="2" t="s">
        <v>68</v>
      </c>
      <c r="C182" s="2">
        <v>2891.77</v>
      </c>
      <c r="D182" s="2">
        <v>2905.95</v>
      </c>
      <c r="E182" s="2">
        <v>2880.48</v>
      </c>
      <c r="F182" s="2">
        <v>2901.47</v>
      </c>
      <c r="G182" s="2">
        <v>2900.46</v>
      </c>
      <c r="H182" s="2">
        <v>140412</v>
      </c>
      <c r="I182" s="2">
        <f t="shared" si="10"/>
        <v>3.3543469916348183E-3</v>
      </c>
      <c r="J182" s="2">
        <f t="shared" si="11"/>
        <v>2892.8825000000002</v>
      </c>
      <c r="K182" s="2">
        <f t="shared" si="12"/>
        <v>2893.1706666666664</v>
      </c>
      <c r="L182" s="2">
        <f t="shared" si="13"/>
        <v>2891.182580645162</v>
      </c>
      <c r="M182" s="4">
        <f t="shared" si="14"/>
        <v>8.8077544203030676E-3</v>
      </c>
      <c r="N182" s="2" t="str">
        <f>TEXT(Table3[[#This Row],[Date]],"YYYY-MM")</f>
        <v>2025-05</v>
      </c>
      <c r="O182" s="2">
        <f>O181+Table3[[#This Row],[Volume]]</f>
        <v>54120110</v>
      </c>
    </row>
    <row r="183" spans="1:15" x14ac:dyDescent="0.35">
      <c r="A183" s="3" t="s">
        <v>66</v>
      </c>
      <c r="B183" s="2" t="s">
        <v>68</v>
      </c>
      <c r="C183" s="2">
        <v>2905.65</v>
      </c>
      <c r="D183" s="2">
        <v>2920.55</v>
      </c>
      <c r="E183" s="2">
        <v>2896.45</v>
      </c>
      <c r="F183" s="2">
        <v>2910.52</v>
      </c>
      <c r="G183" s="2">
        <v>2912.34</v>
      </c>
      <c r="H183" s="2">
        <v>301006</v>
      </c>
      <c r="I183" s="2">
        <f t="shared" si="10"/>
        <v>1.6760449469137339E-3</v>
      </c>
      <c r="J183" s="2">
        <f t="shared" si="11"/>
        <v>2891.4875000000002</v>
      </c>
      <c r="K183" s="2">
        <f t="shared" si="12"/>
        <v>2891.9539999999997</v>
      </c>
      <c r="L183" s="2">
        <f t="shared" si="13"/>
        <v>2891.1348387096778</v>
      </c>
      <c r="M183" s="4">
        <f t="shared" si="14"/>
        <v>8.2941854662469203E-3</v>
      </c>
      <c r="N183" s="2" t="str">
        <f>TEXT(Table3[[#This Row],[Date]],"YYYY-MM")</f>
        <v>2025-05</v>
      </c>
      <c r="O183" s="2">
        <f>O182+Table3[[#This Row],[Volume]]</f>
        <v>54421116</v>
      </c>
    </row>
    <row r="184" spans="1:15" x14ac:dyDescent="0.35">
      <c r="A184" s="3" t="s">
        <v>65</v>
      </c>
      <c r="B184" s="2" t="s">
        <v>68</v>
      </c>
      <c r="C184" s="2">
        <v>2880.28</v>
      </c>
      <c r="D184" s="2">
        <v>2887.88</v>
      </c>
      <c r="E184" s="2">
        <v>2872.93</v>
      </c>
      <c r="F184" s="2">
        <v>2888.71</v>
      </c>
      <c r="G184" s="2">
        <v>2887.71</v>
      </c>
      <c r="H184" s="2">
        <v>483496</v>
      </c>
      <c r="I184" s="2">
        <f t="shared" si="10"/>
        <v>2.9267987834515519E-3</v>
      </c>
      <c r="J184" s="2">
        <f t="shared" si="11"/>
        <v>2891.7362499999999</v>
      </c>
      <c r="K184" s="2">
        <f t="shared" si="12"/>
        <v>2890.0533333333328</v>
      </c>
      <c r="L184" s="2">
        <f t="shared" si="13"/>
        <v>2889.9429032258063</v>
      </c>
      <c r="M184" s="4">
        <f t="shared" si="14"/>
        <v>5.190467593428511E-3</v>
      </c>
      <c r="N184" s="2" t="str">
        <f>TEXT(Table3[[#This Row],[Date]],"YYYY-MM")</f>
        <v>2025-05</v>
      </c>
      <c r="O184" s="2">
        <f>O183+Table3[[#This Row],[Volume]]</f>
        <v>54904612</v>
      </c>
    </row>
    <row r="185" spans="1:15" x14ac:dyDescent="0.35">
      <c r="A185" s="3" t="s">
        <v>64</v>
      </c>
      <c r="B185" s="2" t="s">
        <v>68</v>
      </c>
      <c r="C185" s="2">
        <v>2867.75</v>
      </c>
      <c r="D185" s="2">
        <v>2884.68</v>
      </c>
      <c r="E185" s="2">
        <v>2858.69</v>
      </c>
      <c r="F185" s="2">
        <v>2872.62</v>
      </c>
      <c r="G185" s="2">
        <v>2872.38</v>
      </c>
      <c r="H185" s="2">
        <v>456826</v>
      </c>
      <c r="I185" s="2">
        <f t="shared" si="10"/>
        <v>1.6981954493940862E-3</v>
      </c>
      <c r="J185" s="2">
        <f t="shared" si="11"/>
        <v>2892.67875</v>
      </c>
      <c r="K185" s="2">
        <f t="shared" si="12"/>
        <v>2890.4806666666668</v>
      </c>
      <c r="L185" s="2">
        <f t="shared" si="13"/>
        <v>2890.3664516129033</v>
      </c>
      <c r="M185" s="4">
        <f t="shared" si="14"/>
        <v>9.0628541539533713E-3</v>
      </c>
      <c r="N185" s="2" t="str">
        <f>TEXT(Table3[[#This Row],[Date]],"YYYY-MM")</f>
        <v>2025-05</v>
      </c>
      <c r="O185" s="2">
        <f>O184+Table3[[#This Row],[Volume]]</f>
        <v>55361438</v>
      </c>
    </row>
    <row r="186" spans="1:15" x14ac:dyDescent="0.35">
      <c r="A186" s="3" t="s">
        <v>63</v>
      </c>
      <c r="B186" s="2" t="s">
        <v>68</v>
      </c>
      <c r="C186" s="2">
        <v>2911.89</v>
      </c>
      <c r="D186" s="2">
        <v>2926.45</v>
      </c>
      <c r="E186" s="2">
        <v>2896</v>
      </c>
      <c r="F186" s="2">
        <v>2920.44</v>
      </c>
      <c r="G186" s="2">
        <v>2922.34</v>
      </c>
      <c r="H186" s="2">
        <v>232136</v>
      </c>
      <c r="I186" s="2">
        <f t="shared" si="10"/>
        <v>2.9362372891833764E-3</v>
      </c>
      <c r="J186" s="2">
        <f t="shared" si="11"/>
        <v>2895.3537500000002</v>
      </c>
      <c r="K186" s="2">
        <f t="shared" si="12"/>
        <v>2891.9473333333331</v>
      </c>
      <c r="L186" s="2">
        <f t="shared" si="13"/>
        <v>2890.5383870967744</v>
      </c>
      <c r="M186" s="4">
        <f t="shared" si="14"/>
        <v>1.0457125784284371E-2</v>
      </c>
      <c r="N186" s="2" t="str">
        <f>TEXT(Table3[[#This Row],[Date]],"YYYY-MM")</f>
        <v>2025-05</v>
      </c>
      <c r="O186" s="2">
        <f>O185+Table3[[#This Row],[Volume]]</f>
        <v>55593574</v>
      </c>
    </row>
    <row r="187" spans="1:15" x14ac:dyDescent="0.35">
      <c r="A187" s="3" t="s">
        <v>62</v>
      </c>
      <c r="B187" s="2" t="s">
        <v>68</v>
      </c>
      <c r="C187" s="2">
        <v>2888.64</v>
      </c>
      <c r="D187" s="2">
        <v>2905.19</v>
      </c>
      <c r="E187" s="2">
        <v>2880.4</v>
      </c>
      <c r="F187" s="2">
        <v>2887.41</v>
      </c>
      <c r="G187" s="2">
        <v>2887.9</v>
      </c>
      <c r="H187" s="2">
        <v>141348</v>
      </c>
      <c r="I187" s="2">
        <f t="shared" si="10"/>
        <v>-4.2580591558657993E-4</v>
      </c>
      <c r="J187" s="2">
        <f t="shared" si="11"/>
        <v>2891.6499999999996</v>
      </c>
      <c r="K187" s="2">
        <f t="shared" si="12"/>
        <v>2890.6386666666663</v>
      </c>
      <c r="L187" s="2">
        <f t="shared" si="13"/>
        <v>2889.3816129032252</v>
      </c>
      <c r="M187" s="4">
        <f t="shared" si="14"/>
        <v>8.581893209261093E-3</v>
      </c>
      <c r="N187" s="2" t="str">
        <f>TEXT(Table3[[#This Row],[Date]],"YYYY-MM")</f>
        <v>2025-05</v>
      </c>
      <c r="O187" s="2">
        <f>O186+Table3[[#This Row],[Volume]]</f>
        <v>55734922</v>
      </c>
    </row>
    <row r="188" spans="1:15" x14ac:dyDescent="0.35">
      <c r="A188" s="3" t="s">
        <v>61</v>
      </c>
      <c r="B188" s="2" t="s">
        <v>68</v>
      </c>
      <c r="C188" s="2">
        <v>2883.85</v>
      </c>
      <c r="D188" s="2">
        <v>2889.41</v>
      </c>
      <c r="E188" s="2">
        <v>2866.51</v>
      </c>
      <c r="F188" s="2">
        <v>2878.36</v>
      </c>
      <c r="G188" s="2">
        <v>2877.8</v>
      </c>
      <c r="H188" s="2">
        <v>424384</v>
      </c>
      <c r="I188" s="2">
        <f t="shared" si="10"/>
        <v>-1.9037051164241489E-3</v>
      </c>
      <c r="J188" s="2">
        <f t="shared" si="11"/>
        <v>2891.4112500000001</v>
      </c>
      <c r="K188" s="2">
        <f t="shared" si="12"/>
        <v>2889.9100000000003</v>
      </c>
      <c r="L188" s="2">
        <f t="shared" si="13"/>
        <v>2888.5877419354833</v>
      </c>
      <c r="M188" s="4">
        <f t="shared" si="14"/>
        <v>7.9407736186000097E-3</v>
      </c>
      <c r="N188" s="2" t="str">
        <f>TEXT(Table3[[#This Row],[Date]],"YYYY-MM")</f>
        <v>2025-05</v>
      </c>
      <c r="O188" s="2">
        <f>O187+Table3[[#This Row],[Volume]]</f>
        <v>56159306</v>
      </c>
    </row>
    <row r="189" spans="1:15" x14ac:dyDescent="0.35">
      <c r="A189" s="3" t="s">
        <v>60</v>
      </c>
      <c r="B189" s="2" t="s">
        <v>68</v>
      </c>
      <c r="C189" s="2">
        <v>2883.15</v>
      </c>
      <c r="D189" s="2">
        <v>2895.13</v>
      </c>
      <c r="E189" s="2">
        <v>2870.01</v>
      </c>
      <c r="F189" s="2">
        <v>2882.98</v>
      </c>
      <c r="G189" s="2">
        <v>2882.13</v>
      </c>
      <c r="H189" s="2">
        <v>480225</v>
      </c>
      <c r="I189" s="2">
        <f t="shared" si="10"/>
        <v>-5.8963286682993518E-5</v>
      </c>
      <c r="J189" s="2">
        <f t="shared" si="11"/>
        <v>2892.0787499999997</v>
      </c>
      <c r="K189" s="2">
        <f t="shared" si="12"/>
        <v>2892.262666666667</v>
      </c>
      <c r="L189" s="2">
        <f t="shared" si="13"/>
        <v>2888.6303225806446</v>
      </c>
      <c r="M189" s="4">
        <f t="shared" si="14"/>
        <v>8.7126927145656282E-3</v>
      </c>
      <c r="N189" s="2" t="str">
        <f>TEXT(Table3[[#This Row],[Date]],"YYYY-MM")</f>
        <v>2025-05</v>
      </c>
      <c r="O189" s="2">
        <f>O188+Table3[[#This Row],[Volume]]</f>
        <v>56639531</v>
      </c>
    </row>
    <row r="190" spans="1:15" x14ac:dyDescent="0.35">
      <c r="A190" s="3" t="s">
        <v>59</v>
      </c>
      <c r="B190" s="2" t="s">
        <v>68</v>
      </c>
      <c r="C190" s="2">
        <v>2890.32</v>
      </c>
      <c r="D190" s="2">
        <v>2900.39</v>
      </c>
      <c r="E190" s="2">
        <v>2879.69</v>
      </c>
      <c r="F190" s="2">
        <v>2890.92</v>
      </c>
      <c r="G190" s="2">
        <v>2889.3</v>
      </c>
      <c r="H190" s="2">
        <v>147218</v>
      </c>
      <c r="I190" s="2">
        <f t="shared" si="10"/>
        <v>2.0758947106199626E-4</v>
      </c>
      <c r="J190" s="2">
        <f t="shared" si="11"/>
        <v>2892.0887499999999</v>
      </c>
      <c r="K190" s="2">
        <f t="shared" si="12"/>
        <v>2893.0846666666666</v>
      </c>
      <c r="L190" s="2">
        <f t="shared" si="13"/>
        <v>2888.7877419354827</v>
      </c>
      <c r="M190" s="4">
        <f t="shared" si="14"/>
        <v>7.1618367516398931E-3</v>
      </c>
      <c r="N190" s="2" t="str">
        <f>TEXT(Table3[[#This Row],[Date]],"YYYY-MM")</f>
        <v>2025-05</v>
      </c>
      <c r="O190" s="2">
        <f>O189+Table3[[#This Row],[Volume]]</f>
        <v>56786749</v>
      </c>
    </row>
    <row r="191" spans="1:15" x14ac:dyDescent="0.35">
      <c r="A191" s="3" t="s">
        <v>58</v>
      </c>
      <c r="B191" s="2" t="s">
        <v>68</v>
      </c>
      <c r="C191" s="2">
        <v>2893.15</v>
      </c>
      <c r="D191" s="2">
        <v>2910.12</v>
      </c>
      <c r="E191" s="2">
        <v>2878.4</v>
      </c>
      <c r="F191" s="2">
        <v>2913.52</v>
      </c>
      <c r="G191" s="2">
        <v>2914.33</v>
      </c>
      <c r="H191" s="2">
        <v>137012</v>
      </c>
      <c r="I191" s="2">
        <f t="shared" si="10"/>
        <v>7.0407687123031611E-3</v>
      </c>
      <c r="J191" s="2">
        <f t="shared" si="11"/>
        <v>2891.4049999999997</v>
      </c>
      <c r="K191" s="2">
        <f t="shared" si="12"/>
        <v>2893.469333333333</v>
      </c>
      <c r="L191" s="2">
        <f t="shared" si="13"/>
        <v>2888.4509677419346</v>
      </c>
      <c r="M191" s="4">
        <f t="shared" si="14"/>
        <v>1.0963828353178991E-2</v>
      </c>
      <c r="N191" s="2" t="str">
        <f>TEXT(Table3[[#This Row],[Date]],"YYYY-MM")</f>
        <v>2025-05</v>
      </c>
      <c r="O191" s="2">
        <f>O190+Table3[[#This Row],[Volume]]</f>
        <v>56923761</v>
      </c>
    </row>
    <row r="192" spans="1:15" x14ac:dyDescent="0.35">
      <c r="A192" s="3" t="s">
        <v>57</v>
      </c>
      <c r="B192" s="2" t="s">
        <v>68</v>
      </c>
      <c r="C192" s="2">
        <v>2897.05</v>
      </c>
      <c r="D192" s="2">
        <v>2914.2</v>
      </c>
      <c r="E192" s="2">
        <v>2879.04</v>
      </c>
      <c r="F192" s="2">
        <v>2893.6</v>
      </c>
      <c r="G192" s="2">
        <v>2895.25</v>
      </c>
      <c r="H192" s="2">
        <v>379100</v>
      </c>
      <c r="I192" s="2">
        <f t="shared" si="10"/>
        <v>-1.190866571167316E-3</v>
      </c>
      <c r="J192" s="2">
        <f t="shared" si="11"/>
        <v>2888.8787500000003</v>
      </c>
      <c r="K192" s="2">
        <f t="shared" si="12"/>
        <v>2891.068666666667</v>
      </c>
      <c r="L192" s="2">
        <f t="shared" si="13"/>
        <v>2887.2609677419355</v>
      </c>
      <c r="M192" s="4">
        <f t="shared" si="14"/>
        <v>1.2136483664417202E-2</v>
      </c>
      <c r="N192" s="2" t="str">
        <f>TEXT(Table3[[#This Row],[Date]],"YYYY-MM")</f>
        <v>2025-05</v>
      </c>
      <c r="O192" s="2">
        <f>O191+Table3[[#This Row],[Volume]]</f>
        <v>57302861</v>
      </c>
    </row>
    <row r="193" spans="1:15" x14ac:dyDescent="0.35">
      <c r="A193" s="3" t="s">
        <v>56</v>
      </c>
      <c r="B193" s="2" t="s">
        <v>68</v>
      </c>
      <c r="C193" s="2">
        <v>2891.58</v>
      </c>
      <c r="D193" s="2">
        <v>2907.04</v>
      </c>
      <c r="E193" s="2">
        <v>2876.04</v>
      </c>
      <c r="F193" s="2">
        <v>2894.34</v>
      </c>
      <c r="G193" s="2">
        <v>2893.78</v>
      </c>
      <c r="H193" s="2">
        <v>356538</v>
      </c>
      <c r="I193" s="2">
        <f t="shared" si="10"/>
        <v>9.544954661466113E-4</v>
      </c>
      <c r="J193" s="2">
        <f t="shared" si="11"/>
        <v>2888.7699999999995</v>
      </c>
      <c r="K193" s="2">
        <f t="shared" si="12"/>
        <v>2889.2799999999997</v>
      </c>
      <c r="L193" s="2">
        <f t="shared" si="13"/>
        <v>2887.0125806451611</v>
      </c>
      <c r="M193" s="4">
        <f t="shared" si="14"/>
        <v>1.0720782409616887E-2</v>
      </c>
      <c r="N193" s="2" t="str">
        <f>TEXT(Table3[[#This Row],[Date]],"YYYY-MM")</f>
        <v>2025-05</v>
      </c>
      <c r="O193" s="2">
        <f>O192+Table3[[#This Row],[Volume]]</f>
        <v>57659399</v>
      </c>
    </row>
    <row r="194" spans="1:15" x14ac:dyDescent="0.35">
      <c r="A194" s="3" t="s">
        <v>55</v>
      </c>
      <c r="B194" s="2" t="s">
        <v>68</v>
      </c>
      <c r="C194" s="2">
        <v>2890.31</v>
      </c>
      <c r="D194" s="2">
        <v>2910.16</v>
      </c>
      <c r="E194" s="2">
        <v>2883.21</v>
      </c>
      <c r="F194" s="2">
        <v>2892.64</v>
      </c>
      <c r="G194" s="2">
        <v>2892.71</v>
      </c>
      <c r="H194" s="2">
        <v>273958</v>
      </c>
      <c r="I194" s="2">
        <f t="shared" ref="I194:I257" si="15">(F194-C194)/C194</f>
        <v>8.0614190173369891E-4</v>
      </c>
      <c r="J194" s="2">
        <f t="shared" ref="J194:J257" si="16">AVERAGE(G194:G201)</f>
        <v>2889.88625</v>
      </c>
      <c r="K194" s="2">
        <f t="shared" ref="K194:K257" si="17">AVERAGE(G194:G208)</f>
        <v>2888.7779999999998</v>
      </c>
      <c r="L194" s="2">
        <f t="shared" ref="L194:L257" si="18">AVERAGE(G194:G224)</f>
        <v>2887.8119354838709</v>
      </c>
      <c r="M194" s="4">
        <f t="shared" ref="M194:M257" si="19">(D194-E194)/C194</f>
        <v>9.3242593355037408E-3</v>
      </c>
      <c r="N194" s="2" t="str">
        <f>TEXT(Table3[[#This Row],[Date]],"YYYY-MM")</f>
        <v>2025-05</v>
      </c>
      <c r="O194" s="2">
        <f>O193+Table3[[#This Row],[Volume]]</f>
        <v>57933357</v>
      </c>
    </row>
    <row r="195" spans="1:15" x14ac:dyDescent="0.35">
      <c r="A195" s="3" t="s">
        <v>54</v>
      </c>
      <c r="B195" s="2" t="s">
        <v>68</v>
      </c>
      <c r="C195" s="2">
        <v>2890.14</v>
      </c>
      <c r="D195" s="2">
        <v>2909.18</v>
      </c>
      <c r="E195" s="2">
        <v>2874.7</v>
      </c>
      <c r="F195" s="2">
        <v>2885.71</v>
      </c>
      <c r="G195" s="2">
        <v>2885.99</v>
      </c>
      <c r="H195" s="2">
        <v>424752</v>
      </c>
      <c r="I195" s="2">
        <f t="shared" si="15"/>
        <v>-1.5327977191415766E-3</v>
      </c>
      <c r="J195" s="2">
        <f t="shared" si="16"/>
        <v>2887.9187500000003</v>
      </c>
      <c r="K195" s="2">
        <f t="shared" si="17"/>
        <v>2888.7246666666665</v>
      </c>
      <c r="L195" s="2">
        <f t="shared" si="18"/>
        <v>2887.7558064516129</v>
      </c>
      <c r="M195" s="4">
        <f t="shared" si="19"/>
        <v>1.1930217913319085E-2</v>
      </c>
      <c r="N195" s="2" t="str">
        <f>TEXT(Table3[[#This Row],[Date]],"YYYY-MM")</f>
        <v>2025-05</v>
      </c>
      <c r="O195" s="2">
        <f>O194+Table3[[#This Row],[Volume]]</f>
        <v>58358109</v>
      </c>
    </row>
    <row r="196" spans="1:15" x14ac:dyDescent="0.35">
      <c r="A196" s="3" t="s">
        <v>53</v>
      </c>
      <c r="B196" s="2" t="s">
        <v>68</v>
      </c>
      <c r="C196" s="2">
        <v>2883.48</v>
      </c>
      <c r="D196" s="2">
        <v>2894.26</v>
      </c>
      <c r="E196" s="2">
        <v>2865.71</v>
      </c>
      <c r="F196" s="2">
        <v>2883.87</v>
      </c>
      <c r="G196" s="2">
        <v>2883.14</v>
      </c>
      <c r="H196" s="2">
        <v>493922</v>
      </c>
      <c r="I196" s="2">
        <f t="shared" si="15"/>
        <v>1.3525323567351694E-4</v>
      </c>
      <c r="J196" s="2">
        <f t="shared" si="16"/>
        <v>2891.3062500000001</v>
      </c>
      <c r="K196" s="2">
        <f t="shared" si="17"/>
        <v>2888.4466666666672</v>
      </c>
      <c r="L196" s="2">
        <f t="shared" si="18"/>
        <v>2887.9922580645166</v>
      </c>
      <c r="M196" s="4">
        <f t="shared" si="19"/>
        <v>9.9012304576415241E-3</v>
      </c>
      <c r="N196" s="2" t="str">
        <f>TEXT(Table3[[#This Row],[Date]],"YYYY-MM")</f>
        <v>2025-05</v>
      </c>
      <c r="O196" s="2">
        <f>O195+Table3[[#This Row],[Volume]]</f>
        <v>58852031</v>
      </c>
    </row>
    <row r="197" spans="1:15" x14ac:dyDescent="0.35">
      <c r="A197" s="3" t="s">
        <v>52</v>
      </c>
      <c r="B197" s="2" t="s">
        <v>68</v>
      </c>
      <c r="C197" s="2">
        <v>2885.77</v>
      </c>
      <c r="D197" s="2">
        <v>2891</v>
      </c>
      <c r="E197" s="2">
        <v>2866.85</v>
      </c>
      <c r="F197" s="2">
        <v>2882.5</v>
      </c>
      <c r="G197" s="2">
        <v>2882.21</v>
      </c>
      <c r="H197" s="2">
        <v>209479</v>
      </c>
      <c r="I197" s="2">
        <f t="shared" si="15"/>
        <v>-1.1331464392519092E-3</v>
      </c>
      <c r="J197" s="2">
        <f t="shared" si="16"/>
        <v>2892.7212500000001</v>
      </c>
      <c r="K197" s="2">
        <f t="shared" si="17"/>
        <v>2887.6933333333341</v>
      </c>
      <c r="L197" s="2">
        <f t="shared" si="18"/>
        <v>2888.4532258064523</v>
      </c>
      <c r="M197" s="4">
        <f t="shared" si="19"/>
        <v>8.368650308236655E-3</v>
      </c>
      <c r="N197" s="2" t="str">
        <f>TEXT(Table3[[#This Row],[Date]],"YYYY-MM")</f>
        <v>2025-05</v>
      </c>
      <c r="O197" s="2">
        <f>O196+Table3[[#This Row],[Volume]]</f>
        <v>59061510</v>
      </c>
    </row>
    <row r="198" spans="1:15" x14ac:dyDescent="0.35">
      <c r="A198" s="3" t="s">
        <v>51</v>
      </c>
      <c r="B198" s="2" t="s">
        <v>68</v>
      </c>
      <c r="C198" s="2">
        <v>2888.42</v>
      </c>
      <c r="D198" s="2">
        <v>2896.08</v>
      </c>
      <c r="E198" s="2">
        <v>2869.31</v>
      </c>
      <c r="F198" s="2">
        <v>2882.01</v>
      </c>
      <c r="G198" s="2">
        <v>2883.83</v>
      </c>
      <c r="H198" s="2">
        <v>101631</v>
      </c>
      <c r="I198" s="2">
        <f t="shared" si="15"/>
        <v>-2.2192063481072193E-3</v>
      </c>
      <c r="J198" s="2">
        <f t="shared" si="16"/>
        <v>2894.3287499999997</v>
      </c>
      <c r="K198" s="2">
        <f t="shared" si="17"/>
        <v>2889.7926666666667</v>
      </c>
      <c r="L198" s="2">
        <f t="shared" si="18"/>
        <v>2888.9316129032259</v>
      </c>
      <c r="M198" s="4">
        <f t="shared" si="19"/>
        <v>9.2680427361671713E-3</v>
      </c>
      <c r="N198" s="2" t="str">
        <f>TEXT(Table3[[#This Row],[Date]],"YYYY-MM")</f>
        <v>2025-05</v>
      </c>
      <c r="O198" s="2">
        <f>O197+Table3[[#This Row],[Volume]]</f>
        <v>59163141</v>
      </c>
    </row>
    <row r="199" spans="1:15" x14ac:dyDescent="0.35">
      <c r="A199" s="3" t="s">
        <v>50</v>
      </c>
      <c r="B199" s="2" t="s">
        <v>68</v>
      </c>
      <c r="C199" s="2">
        <v>2885.35</v>
      </c>
      <c r="D199" s="2">
        <v>2893.28</v>
      </c>
      <c r="E199" s="2">
        <v>2869.51</v>
      </c>
      <c r="F199" s="2">
        <v>2895</v>
      </c>
      <c r="G199" s="2">
        <v>2894.12</v>
      </c>
      <c r="H199" s="2">
        <v>163464</v>
      </c>
      <c r="I199" s="2">
        <f t="shared" si="15"/>
        <v>3.3444816053512022E-3</v>
      </c>
      <c r="J199" s="2">
        <f t="shared" si="16"/>
        <v>2893.64</v>
      </c>
      <c r="K199" s="2">
        <f t="shared" si="17"/>
        <v>2890.8026666666669</v>
      </c>
      <c r="L199" s="2">
        <f t="shared" si="18"/>
        <v>2888.7770967741935</v>
      </c>
      <c r="M199" s="4">
        <f t="shared" si="19"/>
        <v>8.2381686797095618E-3</v>
      </c>
      <c r="N199" s="2" t="str">
        <f>TEXT(Table3[[#This Row],[Date]],"YYYY-MM")</f>
        <v>2025-05</v>
      </c>
      <c r="O199" s="2">
        <f>O198+Table3[[#This Row],[Volume]]</f>
        <v>59326605</v>
      </c>
    </row>
    <row r="200" spans="1:15" x14ac:dyDescent="0.35">
      <c r="A200" s="3" t="s">
        <v>49</v>
      </c>
      <c r="B200" s="2" t="s">
        <v>68</v>
      </c>
      <c r="C200" s="2">
        <v>2896.79</v>
      </c>
      <c r="D200" s="2">
        <v>2911.26</v>
      </c>
      <c r="E200" s="2">
        <v>2879.87</v>
      </c>
      <c r="F200" s="2">
        <v>2894.37</v>
      </c>
      <c r="G200" s="2">
        <v>2894.38</v>
      </c>
      <c r="H200" s="2">
        <v>349970</v>
      </c>
      <c r="I200" s="2">
        <f t="shared" si="15"/>
        <v>-8.3540746826662364E-4</v>
      </c>
      <c r="J200" s="2">
        <f t="shared" si="16"/>
        <v>2890.4274999999998</v>
      </c>
      <c r="K200" s="2">
        <f t="shared" si="17"/>
        <v>2889.5539999999996</v>
      </c>
      <c r="L200" s="2">
        <f t="shared" si="18"/>
        <v>2888.1393548387096</v>
      </c>
      <c r="M200" s="4">
        <f t="shared" si="19"/>
        <v>1.0836132408631736E-2</v>
      </c>
      <c r="N200" s="2" t="str">
        <f>TEXT(Table3[[#This Row],[Date]],"YYYY-MM")</f>
        <v>2025-05</v>
      </c>
      <c r="O200" s="2">
        <f>O199+Table3[[#This Row],[Volume]]</f>
        <v>59676575</v>
      </c>
    </row>
    <row r="201" spans="1:15" x14ac:dyDescent="0.35">
      <c r="A201" s="3" t="s">
        <v>48</v>
      </c>
      <c r="B201" s="2" t="s">
        <v>68</v>
      </c>
      <c r="C201" s="2">
        <v>2896.22</v>
      </c>
      <c r="D201" s="2">
        <v>2902.63</v>
      </c>
      <c r="E201" s="2">
        <v>2885.7</v>
      </c>
      <c r="F201" s="2">
        <v>2903.65</v>
      </c>
      <c r="G201" s="2">
        <v>2902.71</v>
      </c>
      <c r="H201" s="2">
        <v>419864</v>
      </c>
      <c r="I201" s="2">
        <f t="shared" si="15"/>
        <v>2.5654128484715565E-3</v>
      </c>
      <c r="J201" s="2">
        <f t="shared" si="16"/>
        <v>2889.4112500000001</v>
      </c>
      <c r="K201" s="2">
        <f t="shared" si="17"/>
        <v>2889.9846666666667</v>
      </c>
      <c r="L201" s="2">
        <f t="shared" si="18"/>
        <v>2887.9180645161291</v>
      </c>
      <c r="M201" s="4">
        <f t="shared" si="19"/>
        <v>5.845550407082436E-3</v>
      </c>
      <c r="N201" s="2" t="str">
        <f>TEXT(Table3[[#This Row],[Date]],"YYYY-MM")</f>
        <v>2025-05</v>
      </c>
      <c r="O201" s="2">
        <f>O200+Table3[[#This Row],[Volume]]</f>
        <v>60096439</v>
      </c>
    </row>
    <row r="202" spans="1:15" x14ac:dyDescent="0.35">
      <c r="A202" s="3" t="s">
        <v>47</v>
      </c>
      <c r="B202" s="2" t="s">
        <v>68</v>
      </c>
      <c r="C202" s="2">
        <v>2880.49</v>
      </c>
      <c r="D202" s="2">
        <v>2896.69</v>
      </c>
      <c r="E202" s="2">
        <v>2865.75</v>
      </c>
      <c r="F202" s="2">
        <v>2875.57</v>
      </c>
      <c r="G202" s="2">
        <v>2876.97</v>
      </c>
      <c r="H202" s="2">
        <v>248274</v>
      </c>
      <c r="I202" s="2">
        <f t="shared" si="15"/>
        <v>-1.708042728841141E-3</v>
      </c>
      <c r="J202" s="2">
        <f t="shared" si="16"/>
        <v>2888.0612500000002</v>
      </c>
      <c r="K202" s="2">
        <f t="shared" si="17"/>
        <v>2888.3179999999998</v>
      </c>
      <c r="L202" s="2">
        <f t="shared" si="18"/>
        <v>2887.81870967742</v>
      </c>
      <c r="M202" s="4">
        <f t="shared" si="19"/>
        <v>1.0741228054949004E-2</v>
      </c>
      <c r="N202" s="2" t="str">
        <f>TEXT(Table3[[#This Row],[Date]],"YYYY-MM")</f>
        <v>2025-05</v>
      </c>
      <c r="O202" s="2">
        <f>O201+Table3[[#This Row],[Volume]]</f>
        <v>60344713</v>
      </c>
    </row>
    <row r="203" spans="1:15" x14ac:dyDescent="0.35">
      <c r="A203" s="3" t="s">
        <v>46</v>
      </c>
      <c r="B203" s="2" t="s">
        <v>68</v>
      </c>
      <c r="C203" s="2">
        <v>2906.66</v>
      </c>
      <c r="D203" s="2">
        <v>2921.44</v>
      </c>
      <c r="E203" s="2">
        <v>2898.3</v>
      </c>
      <c r="F203" s="2">
        <v>2912.24</v>
      </c>
      <c r="G203" s="2">
        <v>2913.09</v>
      </c>
      <c r="H203" s="2">
        <v>232532</v>
      </c>
      <c r="I203" s="2">
        <f t="shared" si="15"/>
        <v>1.9197291736907404E-3</v>
      </c>
      <c r="J203" s="2">
        <f t="shared" si="16"/>
        <v>2888.6675</v>
      </c>
      <c r="K203" s="2">
        <f t="shared" si="17"/>
        <v>2888.9519999999998</v>
      </c>
      <c r="L203" s="2">
        <f t="shared" si="18"/>
        <v>2888.074193548387</v>
      </c>
      <c r="M203" s="4">
        <f t="shared" si="19"/>
        <v>7.9610274335491157E-3</v>
      </c>
      <c r="N203" s="2" t="str">
        <f>TEXT(Table3[[#This Row],[Date]],"YYYY-MM")</f>
        <v>2025-04</v>
      </c>
      <c r="O203" s="2">
        <f>O202+Table3[[#This Row],[Volume]]</f>
        <v>60577245</v>
      </c>
    </row>
    <row r="204" spans="1:15" x14ac:dyDescent="0.35">
      <c r="A204" s="3" t="s">
        <v>45</v>
      </c>
      <c r="B204" s="2" t="s">
        <v>68</v>
      </c>
      <c r="C204" s="2">
        <v>2890.26</v>
      </c>
      <c r="D204" s="2">
        <v>2895.4</v>
      </c>
      <c r="E204" s="2">
        <v>2883.74</v>
      </c>
      <c r="F204" s="2">
        <v>2893.81</v>
      </c>
      <c r="G204" s="2">
        <v>2894.46</v>
      </c>
      <c r="H204" s="2">
        <v>123914</v>
      </c>
      <c r="I204" s="2">
        <f t="shared" si="15"/>
        <v>1.2282632012343966E-3</v>
      </c>
      <c r="J204" s="2">
        <f t="shared" si="16"/>
        <v>2883.51125</v>
      </c>
      <c r="K204" s="2">
        <f t="shared" si="17"/>
        <v>2885.6320000000001</v>
      </c>
      <c r="L204" s="2">
        <f t="shared" si="18"/>
        <v>2887.2700000000004</v>
      </c>
      <c r="M204" s="4">
        <f t="shared" si="19"/>
        <v>4.0342391341956461E-3</v>
      </c>
      <c r="N204" s="2" t="str">
        <f>TEXT(Table3[[#This Row],[Date]],"YYYY-MM")</f>
        <v>2025-04</v>
      </c>
      <c r="O204" s="2">
        <f>O203+Table3[[#This Row],[Volume]]</f>
        <v>60701159</v>
      </c>
    </row>
    <row r="205" spans="1:15" x14ac:dyDescent="0.35">
      <c r="A205" s="3" t="s">
        <v>44</v>
      </c>
      <c r="B205" s="2" t="s">
        <v>68</v>
      </c>
      <c r="C205" s="2">
        <v>2890.5</v>
      </c>
      <c r="D205" s="2">
        <v>2905.13</v>
      </c>
      <c r="E205" s="2">
        <v>2884.24</v>
      </c>
      <c r="F205" s="2">
        <v>2896.42</v>
      </c>
      <c r="G205" s="2">
        <v>2895.07</v>
      </c>
      <c r="H205" s="2">
        <v>262889</v>
      </c>
      <c r="I205" s="2">
        <f t="shared" si="15"/>
        <v>2.0480885659920679E-3</v>
      </c>
      <c r="J205" s="2">
        <f t="shared" si="16"/>
        <v>2885.9162500000002</v>
      </c>
      <c r="K205" s="2">
        <f t="shared" si="17"/>
        <v>2884.6093333333338</v>
      </c>
      <c r="L205" s="2">
        <f t="shared" si="18"/>
        <v>2886.8309677419361</v>
      </c>
      <c r="M205" s="4">
        <f t="shared" si="19"/>
        <v>7.2271233350632508E-3</v>
      </c>
      <c r="N205" s="2" t="str">
        <f>TEXT(Table3[[#This Row],[Date]],"YYYY-MM")</f>
        <v>2025-04</v>
      </c>
      <c r="O205" s="2">
        <f>O204+Table3[[#This Row],[Volume]]</f>
        <v>60964048</v>
      </c>
    </row>
    <row r="206" spans="1:15" x14ac:dyDescent="0.35">
      <c r="A206" s="3" t="s">
        <v>43</v>
      </c>
      <c r="B206" s="2" t="s">
        <v>68</v>
      </c>
      <c r="C206" s="2">
        <v>2873.6</v>
      </c>
      <c r="D206" s="2">
        <v>2883.84</v>
      </c>
      <c r="E206" s="2">
        <v>2857.71</v>
      </c>
      <c r="F206" s="2">
        <v>2876.73</v>
      </c>
      <c r="G206" s="2">
        <v>2878.32</v>
      </c>
      <c r="H206" s="2">
        <v>207164</v>
      </c>
      <c r="I206" s="2">
        <f t="shared" si="15"/>
        <v>1.0892260579064969E-3</v>
      </c>
      <c r="J206" s="2">
        <f t="shared" si="16"/>
        <v>2886.4049999999997</v>
      </c>
      <c r="K206" s="2">
        <f t="shared" si="17"/>
        <v>2884.0720000000001</v>
      </c>
      <c r="L206" s="2">
        <f t="shared" si="18"/>
        <v>2887.3138709677423</v>
      </c>
      <c r="M206" s="4">
        <f t="shared" si="19"/>
        <v>9.0931236080178564E-3</v>
      </c>
      <c r="N206" s="2" t="str">
        <f>TEXT(Table3[[#This Row],[Date]],"YYYY-MM")</f>
        <v>2025-04</v>
      </c>
      <c r="O206" s="2">
        <f>O205+Table3[[#This Row],[Volume]]</f>
        <v>61171212</v>
      </c>
    </row>
    <row r="207" spans="1:15" x14ac:dyDescent="0.35">
      <c r="A207" s="3" t="s">
        <v>42</v>
      </c>
      <c r="B207" s="2" t="s">
        <v>68</v>
      </c>
      <c r="C207" s="2">
        <v>2871.93</v>
      </c>
      <c r="D207" s="2">
        <v>2878.33</v>
      </c>
      <c r="E207" s="2">
        <v>2853.47</v>
      </c>
      <c r="F207" s="2">
        <v>2866.82</v>
      </c>
      <c r="G207" s="2">
        <v>2868.42</v>
      </c>
      <c r="H207" s="2">
        <v>260348</v>
      </c>
      <c r="I207" s="2">
        <f t="shared" si="15"/>
        <v>-1.7792912779906449E-3</v>
      </c>
      <c r="J207" s="2">
        <f t="shared" si="16"/>
        <v>2886.0387499999997</v>
      </c>
      <c r="K207" s="2">
        <f t="shared" si="17"/>
        <v>2884.1080000000002</v>
      </c>
      <c r="L207" s="2">
        <f t="shared" si="18"/>
        <v>2886.987096774194</v>
      </c>
      <c r="M207" s="4">
        <f t="shared" si="19"/>
        <v>8.6561998377398218E-3</v>
      </c>
      <c r="N207" s="2" t="str">
        <f>TEXT(Table3[[#This Row],[Date]],"YYYY-MM")</f>
        <v>2025-04</v>
      </c>
      <c r="O207" s="2">
        <f>O206+Table3[[#This Row],[Volume]]</f>
        <v>61431560</v>
      </c>
    </row>
    <row r="208" spans="1:15" x14ac:dyDescent="0.35">
      <c r="A208" s="3" t="s">
        <v>41</v>
      </c>
      <c r="B208" s="2" t="s">
        <v>68</v>
      </c>
      <c r="C208" s="2">
        <v>2884.43</v>
      </c>
      <c r="D208" s="2">
        <v>2899.33</v>
      </c>
      <c r="E208" s="2">
        <v>2867.17</v>
      </c>
      <c r="F208" s="2">
        <v>2886.03</v>
      </c>
      <c r="G208" s="2">
        <v>2886.25</v>
      </c>
      <c r="H208" s="2">
        <v>425377</v>
      </c>
      <c r="I208" s="2">
        <f t="shared" si="15"/>
        <v>5.5470231553560461E-4</v>
      </c>
      <c r="J208" s="2">
        <f t="shared" si="16"/>
        <v>2890.0912499999999</v>
      </c>
      <c r="K208" s="2">
        <f t="shared" si="17"/>
        <v>2884.7093333333337</v>
      </c>
      <c r="L208" s="2">
        <f t="shared" si="18"/>
        <v>2886.8051612903232</v>
      </c>
      <c r="M208" s="4">
        <f t="shared" si="19"/>
        <v>1.1149516542263066E-2</v>
      </c>
      <c r="N208" s="2" t="str">
        <f>TEXT(Table3[[#This Row],[Date]],"YYYY-MM")</f>
        <v>2025-04</v>
      </c>
      <c r="O208" s="2">
        <f>O207+Table3[[#This Row],[Volume]]</f>
        <v>61856937</v>
      </c>
    </row>
    <row r="209" spans="1:15" x14ac:dyDescent="0.35">
      <c r="A209" s="3" t="s">
        <v>40</v>
      </c>
      <c r="B209" s="2" t="s">
        <v>68</v>
      </c>
      <c r="C209" s="2">
        <v>2878.81</v>
      </c>
      <c r="D209" s="2">
        <v>2897.86</v>
      </c>
      <c r="E209" s="2">
        <v>2871.75</v>
      </c>
      <c r="F209" s="2">
        <v>2892.55</v>
      </c>
      <c r="G209" s="2">
        <v>2891.91</v>
      </c>
      <c r="H209" s="2">
        <v>320916</v>
      </c>
      <c r="I209" s="2">
        <f t="shared" si="15"/>
        <v>4.7728054300215147E-3</v>
      </c>
      <c r="J209" s="2">
        <f t="shared" si="16"/>
        <v>2889.0237499999998</v>
      </c>
      <c r="K209" s="2">
        <f t="shared" si="17"/>
        <v>2884.7960000000003</v>
      </c>
      <c r="L209" s="2">
        <f t="shared" si="18"/>
        <v>2886.7722580645163</v>
      </c>
      <c r="M209" s="4">
        <f t="shared" si="19"/>
        <v>9.0697197800480509E-3</v>
      </c>
      <c r="N209" s="2" t="str">
        <f>TEXT(Table3[[#This Row],[Date]],"YYYY-MM")</f>
        <v>2025-04</v>
      </c>
      <c r="O209" s="2">
        <f>O208+Table3[[#This Row],[Volume]]</f>
        <v>62177853</v>
      </c>
    </row>
    <row r="210" spans="1:15" x14ac:dyDescent="0.35">
      <c r="A210" s="3" t="s">
        <v>39</v>
      </c>
      <c r="B210" s="2" t="s">
        <v>68</v>
      </c>
      <c r="C210" s="2">
        <v>2888.09</v>
      </c>
      <c r="D210" s="2">
        <v>2896.49</v>
      </c>
      <c r="E210" s="2">
        <v>2873.41</v>
      </c>
      <c r="F210" s="2">
        <v>2883.12</v>
      </c>
      <c r="G210" s="2">
        <v>2881.82</v>
      </c>
      <c r="H210" s="2">
        <v>304825</v>
      </c>
      <c r="I210" s="2">
        <f t="shared" si="15"/>
        <v>-1.7208604994997574E-3</v>
      </c>
      <c r="J210" s="2">
        <f t="shared" si="16"/>
        <v>2888.3449999999998</v>
      </c>
      <c r="K210" s="2">
        <f t="shared" si="17"/>
        <v>2886.5726666666669</v>
      </c>
      <c r="L210" s="2">
        <f t="shared" si="18"/>
        <v>2887.1261290322582</v>
      </c>
      <c r="M210" s="4">
        <f t="shared" si="19"/>
        <v>7.9914407099501497E-3</v>
      </c>
      <c r="N210" s="2" t="str">
        <f>TEXT(Table3[[#This Row],[Date]],"YYYY-MM")</f>
        <v>2025-04</v>
      </c>
      <c r="O210" s="2">
        <f>O209+Table3[[#This Row],[Volume]]</f>
        <v>62482678</v>
      </c>
    </row>
    <row r="211" spans="1:15" x14ac:dyDescent="0.35">
      <c r="A211" s="3" t="s">
        <v>38</v>
      </c>
      <c r="B211" s="2" t="s">
        <v>68</v>
      </c>
      <c r="C211" s="2">
        <v>2878.09</v>
      </c>
      <c r="D211" s="2">
        <v>2883.7</v>
      </c>
      <c r="E211" s="2">
        <v>2864.23</v>
      </c>
      <c r="F211" s="2">
        <v>2871.13</v>
      </c>
      <c r="G211" s="2">
        <v>2871.84</v>
      </c>
      <c r="H211" s="2">
        <v>482530</v>
      </c>
      <c r="I211" s="2">
        <f t="shared" si="15"/>
        <v>-2.4182704501944123E-3</v>
      </c>
      <c r="J211" s="2">
        <f t="shared" si="16"/>
        <v>2886.0287499999999</v>
      </c>
      <c r="K211" s="2">
        <f t="shared" si="17"/>
        <v>2887.182666666667</v>
      </c>
      <c r="L211" s="2">
        <f t="shared" si="18"/>
        <v>2887.4512903225809</v>
      </c>
      <c r="M211" s="4">
        <f t="shared" si="19"/>
        <v>6.7649031128282295E-3</v>
      </c>
      <c r="N211" s="2" t="str">
        <f>TEXT(Table3[[#This Row],[Date]],"YYYY-MM")</f>
        <v>2025-04</v>
      </c>
      <c r="O211" s="2">
        <f>O210+Table3[[#This Row],[Volume]]</f>
        <v>62965208</v>
      </c>
    </row>
    <row r="212" spans="1:15" x14ac:dyDescent="0.35">
      <c r="A212" s="3" t="s">
        <v>37</v>
      </c>
      <c r="B212" s="2" t="s">
        <v>68</v>
      </c>
      <c r="C212" s="2">
        <v>2902.05</v>
      </c>
      <c r="D212" s="2">
        <v>2915.09</v>
      </c>
      <c r="E212" s="2">
        <v>2895.7</v>
      </c>
      <c r="F212" s="2">
        <v>2912.36</v>
      </c>
      <c r="G212" s="2">
        <v>2913.7</v>
      </c>
      <c r="H212" s="2">
        <v>348322</v>
      </c>
      <c r="I212" s="2">
        <f t="shared" si="15"/>
        <v>3.552661049947432E-3</v>
      </c>
      <c r="J212" s="2">
        <f t="shared" si="16"/>
        <v>2886.9387499999998</v>
      </c>
      <c r="K212" s="2">
        <f t="shared" si="17"/>
        <v>2888.6146666666664</v>
      </c>
      <c r="L212" s="2">
        <f t="shared" si="18"/>
        <v>2857.3961290322577</v>
      </c>
      <c r="M212" s="4">
        <f t="shared" si="19"/>
        <v>6.6814837787082674E-3</v>
      </c>
      <c r="N212" s="2" t="str">
        <f>TEXT(Table3[[#This Row],[Date]],"YYYY-MM")</f>
        <v>2025-04</v>
      </c>
      <c r="O212" s="2">
        <f>O211+Table3[[#This Row],[Volume]]</f>
        <v>63313530</v>
      </c>
    </row>
    <row r="213" spans="1:15" x14ac:dyDescent="0.35">
      <c r="A213" s="3" t="s">
        <v>36</v>
      </c>
      <c r="B213" s="2" t="s">
        <v>68</v>
      </c>
      <c r="C213" s="2">
        <v>2899.43</v>
      </c>
      <c r="D213" s="2">
        <v>2907.99</v>
      </c>
      <c r="E213" s="2">
        <v>2883.51</v>
      </c>
      <c r="F213" s="2">
        <v>2899.51</v>
      </c>
      <c r="G213" s="2">
        <v>2898.98</v>
      </c>
      <c r="H213" s="2">
        <v>332170</v>
      </c>
      <c r="I213" s="2">
        <f t="shared" si="15"/>
        <v>2.7591630079147278E-5</v>
      </c>
      <c r="J213" s="2">
        <f t="shared" si="16"/>
        <v>2883.6025</v>
      </c>
      <c r="K213" s="2">
        <f t="shared" si="17"/>
        <v>2887.5299999999997</v>
      </c>
      <c r="L213" s="2">
        <f t="shared" si="18"/>
        <v>2826.7683870967739</v>
      </c>
      <c r="M213" s="4">
        <f t="shared" si="19"/>
        <v>8.4430388041786021E-3</v>
      </c>
      <c r="N213" s="2" t="str">
        <f>TEXT(Table3[[#This Row],[Date]],"YYYY-MM")</f>
        <v>2025-04</v>
      </c>
      <c r="O213" s="2">
        <f>O212+Table3[[#This Row],[Volume]]</f>
        <v>63645700</v>
      </c>
    </row>
    <row r="214" spans="1:15" x14ac:dyDescent="0.35">
      <c r="A214" s="3" t="s">
        <v>35</v>
      </c>
      <c r="B214" s="2" t="s">
        <v>68</v>
      </c>
      <c r="C214" s="2">
        <v>2882.25</v>
      </c>
      <c r="D214" s="2">
        <v>2894.59</v>
      </c>
      <c r="E214" s="2">
        <v>2862.47</v>
      </c>
      <c r="F214" s="2">
        <v>2876.42</v>
      </c>
      <c r="G214" s="2">
        <v>2875.39</v>
      </c>
      <c r="H214" s="2">
        <v>469445</v>
      </c>
      <c r="I214" s="2">
        <f t="shared" si="15"/>
        <v>-2.0227253014138006E-3</v>
      </c>
      <c r="J214" s="2">
        <f t="shared" si="16"/>
        <v>2881.0874999999996</v>
      </c>
      <c r="K214" s="2">
        <f t="shared" si="17"/>
        <v>2887.4006666666664</v>
      </c>
      <c r="L214" s="2">
        <f t="shared" si="18"/>
        <v>2797.0658064516128</v>
      </c>
      <c r="M214" s="4">
        <f t="shared" si="19"/>
        <v>1.1144071471940444E-2</v>
      </c>
      <c r="N214" s="2" t="str">
        <f>TEXT(Table3[[#This Row],[Date]],"YYYY-MM")</f>
        <v>2025-04</v>
      </c>
      <c r="O214" s="2">
        <f>O213+Table3[[#This Row],[Volume]]</f>
        <v>64115145</v>
      </c>
    </row>
    <row r="215" spans="1:15" x14ac:dyDescent="0.35">
      <c r="A215" s="3" t="s">
        <v>34</v>
      </c>
      <c r="B215" s="2" t="s">
        <v>68</v>
      </c>
      <c r="C215" s="2">
        <v>2888.6</v>
      </c>
      <c r="D215" s="2">
        <v>2894.37</v>
      </c>
      <c r="E215" s="2">
        <v>2879.42</v>
      </c>
      <c r="F215" s="2">
        <v>2899.21</v>
      </c>
      <c r="G215" s="2">
        <v>2900.84</v>
      </c>
      <c r="H215" s="2">
        <v>292994</v>
      </c>
      <c r="I215" s="2">
        <f t="shared" si="15"/>
        <v>3.6730596136537175E-3</v>
      </c>
      <c r="J215" s="2">
        <f t="shared" si="16"/>
        <v>2881.3437499999995</v>
      </c>
      <c r="K215" s="2">
        <f t="shared" si="17"/>
        <v>2887.6440000000002</v>
      </c>
      <c r="L215" s="2">
        <f t="shared" si="18"/>
        <v>2767.7022580645157</v>
      </c>
      <c r="M215" s="4">
        <f t="shared" si="19"/>
        <v>5.1755175517551131E-3</v>
      </c>
      <c r="N215" s="2" t="str">
        <f>TEXT(Table3[[#This Row],[Date]],"YYYY-MM")</f>
        <v>2025-04</v>
      </c>
      <c r="O215" s="2">
        <f>O214+Table3[[#This Row],[Volume]]</f>
        <v>64408139</v>
      </c>
    </row>
    <row r="216" spans="1:15" x14ac:dyDescent="0.35">
      <c r="A216" s="3" t="s">
        <v>33</v>
      </c>
      <c r="B216" s="2" t="s">
        <v>68</v>
      </c>
      <c r="C216" s="2">
        <v>2887.81</v>
      </c>
      <c r="D216" s="2">
        <v>2897.32</v>
      </c>
      <c r="E216" s="2">
        <v>2878.54</v>
      </c>
      <c r="F216" s="2">
        <v>2879.56</v>
      </c>
      <c r="G216" s="2">
        <v>2877.71</v>
      </c>
      <c r="H216" s="2">
        <v>124956</v>
      </c>
      <c r="I216" s="2">
        <f t="shared" si="15"/>
        <v>-2.8568361491926406E-3</v>
      </c>
      <c r="J216" s="2">
        <f t="shared" si="16"/>
        <v>2879.6824999999994</v>
      </c>
      <c r="K216" s="2">
        <f t="shared" si="17"/>
        <v>2885.8779999999997</v>
      </c>
      <c r="L216" s="2">
        <f t="shared" si="18"/>
        <v>2737.0793548387096</v>
      </c>
      <c r="M216" s="4">
        <f t="shared" si="19"/>
        <v>6.5031979250713169E-3</v>
      </c>
      <c r="N216" s="2" t="str">
        <f>TEXT(Table3[[#This Row],[Date]],"YYYY-MM")</f>
        <v>2025-04</v>
      </c>
      <c r="O216" s="2">
        <f>O215+Table3[[#This Row],[Volume]]</f>
        <v>64533095</v>
      </c>
    </row>
    <row r="217" spans="1:15" x14ac:dyDescent="0.35">
      <c r="A217" s="3" t="s">
        <v>32</v>
      </c>
      <c r="B217" s="2" t="s">
        <v>68</v>
      </c>
      <c r="C217" s="2">
        <v>2886.39</v>
      </c>
      <c r="D217" s="2">
        <v>2899.17</v>
      </c>
      <c r="E217" s="2">
        <v>2870.84</v>
      </c>
      <c r="F217" s="2">
        <v>2887.03</v>
      </c>
      <c r="G217" s="2">
        <v>2886.48</v>
      </c>
      <c r="H217" s="2">
        <v>335254</v>
      </c>
      <c r="I217" s="2">
        <f t="shared" si="15"/>
        <v>2.2173025821192819E-4</v>
      </c>
      <c r="J217" s="2">
        <f t="shared" si="16"/>
        <v>2884.7887500000002</v>
      </c>
      <c r="K217" s="2">
        <f t="shared" si="17"/>
        <v>2886.5319999999997</v>
      </c>
      <c r="L217" s="2">
        <f t="shared" si="18"/>
        <v>2707.4293548387091</v>
      </c>
      <c r="M217" s="4">
        <f t="shared" si="19"/>
        <v>9.815028461157338E-3</v>
      </c>
      <c r="N217" s="2" t="str">
        <f>TEXT(Table3[[#This Row],[Date]],"YYYY-MM")</f>
        <v>2025-04</v>
      </c>
      <c r="O217" s="2">
        <f>O216+Table3[[#This Row],[Volume]]</f>
        <v>64868349</v>
      </c>
    </row>
    <row r="218" spans="1:15" x14ac:dyDescent="0.35">
      <c r="A218" s="3" t="s">
        <v>31</v>
      </c>
      <c r="B218" s="2" t="s">
        <v>68</v>
      </c>
      <c r="C218" s="2">
        <v>2861.45</v>
      </c>
      <c r="D218" s="2">
        <v>2869.78</v>
      </c>
      <c r="E218" s="2">
        <v>2854.65</v>
      </c>
      <c r="F218" s="2">
        <v>2863.94</v>
      </c>
      <c r="G218" s="2">
        <v>2863.29</v>
      </c>
      <c r="H218" s="2">
        <v>312532</v>
      </c>
      <c r="I218" s="2">
        <f t="shared" si="15"/>
        <v>8.7018819130169555E-4</v>
      </c>
      <c r="J218" s="2">
        <f t="shared" si="16"/>
        <v>2885.3500000000004</v>
      </c>
      <c r="K218" s="2">
        <f t="shared" si="17"/>
        <v>2887.4086666666667</v>
      </c>
      <c r="L218" s="2">
        <f t="shared" si="18"/>
        <v>2676.6793548387091</v>
      </c>
      <c r="M218" s="4">
        <f t="shared" si="19"/>
        <v>5.2875290499572276E-3</v>
      </c>
      <c r="N218" s="2" t="str">
        <f>TEXT(Table3[[#This Row],[Date]],"YYYY-MM")</f>
        <v>2025-04</v>
      </c>
      <c r="O218" s="2">
        <f>O217+Table3[[#This Row],[Volume]]</f>
        <v>65180881</v>
      </c>
    </row>
    <row r="219" spans="1:15" x14ac:dyDescent="0.35">
      <c r="A219" s="3" t="s">
        <v>30</v>
      </c>
      <c r="B219" s="2" t="s">
        <v>68</v>
      </c>
      <c r="C219" s="2">
        <v>2880.98</v>
      </c>
      <c r="D219" s="2">
        <v>2889.4</v>
      </c>
      <c r="E219" s="2">
        <v>2869.57</v>
      </c>
      <c r="F219" s="2">
        <v>2877.85</v>
      </c>
      <c r="G219" s="2">
        <v>2879.12</v>
      </c>
      <c r="H219" s="2">
        <v>180215</v>
      </c>
      <c r="I219" s="2">
        <f t="shared" si="15"/>
        <v>-1.0864358655735581E-3</v>
      </c>
      <c r="J219" s="2">
        <f t="shared" si="16"/>
        <v>2889.1037500000002</v>
      </c>
      <c r="K219" s="2">
        <f t="shared" si="17"/>
        <v>2888.8486666666663</v>
      </c>
      <c r="L219" s="2">
        <f t="shared" si="18"/>
        <v>2647.3032258064513</v>
      </c>
      <c r="M219" s="4">
        <f t="shared" si="19"/>
        <v>6.8830745093683143E-3</v>
      </c>
      <c r="N219" s="2" t="str">
        <f>TEXT(Table3[[#This Row],[Date]],"YYYY-MM")</f>
        <v>2025-04</v>
      </c>
      <c r="O219" s="2">
        <f>O218+Table3[[#This Row],[Volume]]</f>
        <v>65361096</v>
      </c>
    </row>
    <row r="220" spans="1:15" x14ac:dyDescent="0.35">
      <c r="A220" s="3" t="s">
        <v>29</v>
      </c>
      <c r="B220" s="2" t="s">
        <v>68</v>
      </c>
      <c r="C220" s="2">
        <v>2890.57</v>
      </c>
      <c r="D220" s="2">
        <v>2898.37</v>
      </c>
      <c r="E220" s="2">
        <v>2872.18</v>
      </c>
      <c r="F220" s="2">
        <v>2886.85</v>
      </c>
      <c r="G220" s="2">
        <v>2887.01</v>
      </c>
      <c r="H220" s="2">
        <v>436427</v>
      </c>
      <c r="I220" s="2">
        <f t="shared" si="15"/>
        <v>-1.286943405625968E-3</v>
      </c>
      <c r="J220" s="2">
        <f t="shared" si="16"/>
        <v>2891.3924999999999</v>
      </c>
      <c r="K220" s="2">
        <f t="shared" si="17"/>
        <v>2889.4513333333325</v>
      </c>
      <c r="L220" s="2">
        <f t="shared" si="18"/>
        <v>2617.5132258064514</v>
      </c>
      <c r="M220" s="4">
        <f t="shared" si="19"/>
        <v>9.0604967186402874E-3</v>
      </c>
      <c r="N220" s="2" t="str">
        <f>TEXT(Table3[[#This Row],[Date]],"YYYY-MM")</f>
        <v>2025-04</v>
      </c>
      <c r="O220" s="2">
        <f>O219+Table3[[#This Row],[Volume]]</f>
        <v>65797523</v>
      </c>
    </row>
    <row r="221" spans="1:15" x14ac:dyDescent="0.35">
      <c r="A221" s="3" t="s">
        <v>28</v>
      </c>
      <c r="B221" s="2" t="s">
        <v>68</v>
      </c>
      <c r="C221" s="2">
        <v>2879.92</v>
      </c>
      <c r="D221" s="2">
        <v>2898.87</v>
      </c>
      <c r="E221" s="2">
        <v>2862.8</v>
      </c>
      <c r="F221" s="2">
        <v>2878.33</v>
      </c>
      <c r="G221" s="2">
        <v>2878.86</v>
      </c>
      <c r="H221" s="2">
        <v>308605</v>
      </c>
      <c r="I221" s="2">
        <f t="shared" si="15"/>
        <v>-5.5209866940753407E-4</v>
      </c>
      <c r="J221" s="2">
        <f t="shared" si="16"/>
        <v>2892.6462500000002</v>
      </c>
      <c r="K221" s="2">
        <f t="shared" si="17"/>
        <v>2889.0406666666663</v>
      </c>
      <c r="L221" s="2">
        <f t="shared" si="18"/>
        <v>2587.6641935483872</v>
      </c>
      <c r="M221" s="4">
        <f t="shared" si="19"/>
        <v>1.2524653462596081E-2</v>
      </c>
      <c r="N221" s="2" t="str">
        <f>TEXT(Table3[[#This Row],[Date]],"YYYY-MM")</f>
        <v>2025-04</v>
      </c>
      <c r="O221" s="2">
        <f>O220+Table3[[#This Row],[Volume]]</f>
        <v>66106128</v>
      </c>
    </row>
    <row r="222" spans="1:15" x14ac:dyDescent="0.35">
      <c r="A222" s="3" t="s">
        <v>27</v>
      </c>
      <c r="B222" s="2" t="s">
        <v>68</v>
      </c>
      <c r="C222" s="2">
        <v>2882.66</v>
      </c>
      <c r="D222" s="2">
        <v>2898.99</v>
      </c>
      <c r="E222" s="2">
        <v>2874.23</v>
      </c>
      <c r="F222" s="2">
        <v>2879.13</v>
      </c>
      <c r="G222" s="2">
        <v>2877.44</v>
      </c>
      <c r="H222" s="2">
        <v>480994</v>
      </c>
      <c r="I222" s="2">
        <f t="shared" si="15"/>
        <v>-1.2245634240596343E-3</v>
      </c>
      <c r="J222" s="2">
        <f t="shared" si="16"/>
        <v>2892.6687499999998</v>
      </c>
      <c r="K222" s="2">
        <f t="shared" si="17"/>
        <v>2891.1193333333331</v>
      </c>
      <c r="L222" s="2">
        <f t="shared" si="18"/>
        <v>2557.8493548387096</v>
      </c>
      <c r="M222" s="4">
        <f t="shared" si="19"/>
        <v>8.5892890594103238E-3</v>
      </c>
      <c r="N222" s="2" t="str">
        <f>TEXT(Table3[[#This Row],[Date]],"YYYY-MM")</f>
        <v>2025-04</v>
      </c>
      <c r="O222" s="2">
        <f>O221+Table3[[#This Row],[Volume]]</f>
        <v>66587122</v>
      </c>
    </row>
    <row r="223" spans="1:15" x14ac:dyDescent="0.35">
      <c r="A223" s="3" t="s">
        <v>26</v>
      </c>
      <c r="B223" s="2" t="s">
        <v>68</v>
      </c>
      <c r="C223" s="2">
        <v>2888.87</v>
      </c>
      <c r="D223" s="2">
        <v>2898.59</v>
      </c>
      <c r="E223" s="2">
        <v>2876.24</v>
      </c>
      <c r="F223" s="2">
        <v>2885.92</v>
      </c>
      <c r="G223" s="2">
        <v>2887.55</v>
      </c>
      <c r="H223" s="2">
        <v>184884</v>
      </c>
      <c r="I223" s="2">
        <f t="shared" si="15"/>
        <v>-1.0211605229725872E-3</v>
      </c>
      <c r="J223" s="2">
        <f t="shared" si="16"/>
        <v>2892.2824999999998</v>
      </c>
      <c r="K223" s="2">
        <f t="shared" si="17"/>
        <v>2890.5026666666668</v>
      </c>
      <c r="L223" s="2">
        <f t="shared" si="18"/>
        <v>2527.9829032258071</v>
      </c>
      <c r="M223" s="4">
        <f t="shared" si="19"/>
        <v>7.73658904692851E-3</v>
      </c>
      <c r="N223" s="2" t="str">
        <f>TEXT(Table3[[#This Row],[Date]],"YYYY-MM")</f>
        <v>2025-04</v>
      </c>
      <c r="O223" s="2">
        <f>O222+Table3[[#This Row],[Volume]]</f>
        <v>66772006</v>
      </c>
    </row>
    <row r="224" spans="1:15" x14ac:dyDescent="0.35">
      <c r="A224" s="3" t="s">
        <v>25</v>
      </c>
      <c r="B224" s="2" t="s">
        <v>68</v>
      </c>
      <c r="C224" s="2">
        <v>2921.72</v>
      </c>
      <c r="D224" s="2">
        <v>2933.13</v>
      </c>
      <c r="E224" s="2">
        <v>2916.34</v>
      </c>
      <c r="F224" s="2">
        <v>2920.13</v>
      </c>
      <c r="G224" s="2">
        <v>2918.56</v>
      </c>
      <c r="H224" s="2">
        <v>468262</v>
      </c>
      <c r="I224" s="2">
        <f t="shared" si="15"/>
        <v>-5.4419999178555471E-4</v>
      </c>
      <c r="J224" s="2">
        <f t="shared" si="16"/>
        <v>2892.2787499999999</v>
      </c>
      <c r="K224" s="2">
        <f t="shared" si="17"/>
        <v>2888.8513333333335</v>
      </c>
      <c r="L224" s="2">
        <f t="shared" si="18"/>
        <v>2497.6483870967745</v>
      </c>
      <c r="M224" s="4">
        <f t="shared" si="19"/>
        <v>5.7466150075982519E-3</v>
      </c>
      <c r="N224" s="2" t="str">
        <f>TEXT(Table3[[#This Row],[Date]],"YYYY-MM")</f>
        <v>2025-04</v>
      </c>
      <c r="O224" s="2">
        <f>O223+Table3[[#This Row],[Volume]]</f>
        <v>67240268</v>
      </c>
    </row>
    <row r="225" spans="1:15" x14ac:dyDescent="0.35">
      <c r="A225" s="3" t="s">
        <v>24</v>
      </c>
      <c r="B225" s="2" t="s">
        <v>68</v>
      </c>
      <c r="C225" s="2">
        <v>2891.62</v>
      </c>
      <c r="D225" s="2">
        <v>2908.03</v>
      </c>
      <c r="E225" s="2">
        <v>2878.2</v>
      </c>
      <c r="F225" s="2">
        <v>2889.89</v>
      </c>
      <c r="G225" s="2">
        <v>2890.97</v>
      </c>
      <c r="H225" s="2">
        <v>474614</v>
      </c>
      <c r="I225" s="2">
        <f t="shared" si="15"/>
        <v>-5.9828054861981112E-4</v>
      </c>
      <c r="J225" s="2">
        <f t="shared" si="16"/>
        <v>2889.9124999999999</v>
      </c>
      <c r="K225" s="2">
        <f t="shared" si="17"/>
        <v>2886.6293333333333</v>
      </c>
      <c r="L225" s="2">
        <f t="shared" si="18"/>
        <v>2466.4658064516125</v>
      </c>
      <c r="M225" s="4">
        <f t="shared" si="19"/>
        <v>1.0316016627357807E-2</v>
      </c>
      <c r="N225" s="2" t="str">
        <f>TEXT(Table3[[#This Row],[Date]],"YYYY-MM")</f>
        <v>2025-03</v>
      </c>
      <c r="O225" s="2">
        <f>O224+Table3[[#This Row],[Volume]]</f>
        <v>67714882</v>
      </c>
    </row>
    <row r="226" spans="1:15" x14ac:dyDescent="0.35">
      <c r="A226" s="3" t="s">
        <v>23</v>
      </c>
      <c r="B226" s="2" t="s">
        <v>68</v>
      </c>
      <c r="C226" s="2">
        <v>2899.8</v>
      </c>
      <c r="D226" s="2">
        <v>2914.36</v>
      </c>
      <c r="E226" s="2">
        <v>2881.49</v>
      </c>
      <c r="F226" s="2">
        <v>2893.43</v>
      </c>
      <c r="G226" s="2">
        <v>2893.32</v>
      </c>
      <c r="H226" s="2">
        <v>182816</v>
      </c>
      <c r="I226" s="2">
        <f t="shared" si="15"/>
        <v>-2.1967032209119059E-3</v>
      </c>
      <c r="J226" s="2">
        <f t="shared" si="16"/>
        <v>2889.1525000000001</v>
      </c>
      <c r="K226" s="2">
        <f t="shared" si="17"/>
        <v>2887.4233333333332</v>
      </c>
      <c r="L226" s="2">
        <f t="shared" si="18"/>
        <v>2436.643225806451</v>
      </c>
      <c r="M226" s="4">
        <f t="shared" si="19"/>
        <v>1.1335264501000187E-2</v>
      </c>
      <c r="N226" s="2" t="str">
        <f>TEXT(Table3[[#This Row],[Date]],"YYYY-MM")</f>
        <v>2025-03</v>
      </c>
      <c r="O226" s="2">
        <f>O225+Table3[[#This Row],[Volume]]</f>
        <v>67897698</v>
      </c>
    </row>
    <row r="227" spans="1:15" x14ac:dyDescent="0.35">
      <c r="A227" s="3" t="s">
        <v>22</v>
      </c>
      <c r="B227" s="2" t="s">
        <v>68</v>
      </c>
      <c r="C227" s="2">
        <v>2891.31</v>
      </c>
      <c r="D227" s="2">
        <v>2901.27</v>
      </c>
      <c r="E227" s="2">
        <v>2885.36</v>
      </c>
      <c r="F227" s="2">
        <v>2898.19</v>
      </c>
      <c r="G227" s="2">
        <v>2897.43</v>
      </c>
      <c r="H227" s="2">
        <v>274538</v>
      </c>
      <c r="I227" s="2">
        <f t="shared" si="15"/>
        <v>2.3795442204399076E-3</v>
      </c>
      <c r="J227" s="2">
        <f t="shared" si="16"/>
        <v>2888.5074999999997</v>
      </c>
      <c r="K227" s="2">
        <f t="shared" si="17"/>
        <v>2887.3286666666668</v>
      </c>
      <c r="L227" s="2">
        <f t="shared" si="18"/>
        <v>2406.2787096774186</v>
      </c>
      <c r="M227" s="4">
        <f t="shared" si="19"/>
        <v>5.5026960097671485E-3</v>
      </c>
      <c r="N227" s="2" t="str">
        <f>TEXT(Table3[[#This Row],[Date]],"YYYY-MM")</f>
        <v>2025-03</v>
      </c>
      <c r="O227" s="2">
        <f>O226+Table3[[#This Row],[Volume]]</f>
        <v>68172236</v>
      </c>
    </row>
    <row r="228" spans="1:15" x14ac:dyDescent="0.35">
      <c r="A228" s="3" t="s">
        <v>21</v>
      </c>
      <c r="B228" s="2" t="s">
        <v>68</v>
      </c>
      <c r="C228" s="2">
        <v>2896.94</v>
      </c>
      <c r="D228" s="2">
        <v>2903.05</v>
      </c>
      <c r="E228" s="2">
        <v>2886.56</v>
      </c>
      <c r="F228" s="2">
        <v>2898.58</v>
      </c>
      <c r="G228" s="2">
        <v>2897.04</v>
      </c>
      <c r="H228" s="2">
        <v>412649</v>
      </c>
      <c r="I228" s="2">
        <f t="shared" si="15"/>
        <v>5.6611458987755104E-4</v>
      </c>
      <c r="J228" s="2">
        <f t="shared" si="16"/>
        <v>2886.4349999999999</v>
      </c>
      <c r="K228" s="2">
        <f t="shared" si="17"/>
        <v>2823.5086666666666</v>
      </c>
      <c r="L228" s="2">
        <f t="shared" si="18"/>
        <v>2375.2967741935481</v>
      </c>
      <c r="M228" s="4">
        <f t="shared" si="19"/>
        <v>5.69221316285468E-3</v>
      </c>
      <c r="N228" s="2" t="str">
        <f>TEXT(Table3[[#This Row],[Date]],"YYYY-MM")</f>
        <v>2025-03</v>
      </c>
      <c r="O228" s="2">
        <f>O227+Table3[[#This Row],[Volume]]</f>
        <v>68584885</v>
      </c>
    </row>
    <row r="229" spans="1:15" x14ac:dyDescent="0.35">
      <c r="A229" s="3" t="s">
        <v>20</v>
      </c>
      <c r="B229" s="2" t="s">
        <v>68</v>
      </c>
      <c r="C229" s="2">
        <v>2881.23</v>
      </c>
      <c r="D229" s="2">
        <v>2886.31</v>
      </c>
      <c r="E229" s="2">
        <v>2864</v>
      </c>
      <c r="F229" s="2">
        <v>2878.21</v>
      </c>
      <c r="G229" s="2">
        <v>2879.04</v>
      </c>
      <c r="H229" s="2">
        <v>138435</v>
      </c>
      <c r="I229" s="2">
        <f t="shared" si="15"/>
        <v>-1.0481634579675978E-3</v>
      </c>
      <c r="J229" s="2">
        <f t="shared" si="16"/>
        <v>2888.06</v>
      </c>
      <c r="K229" s="2">
        <f t="shared" si="17"/>
        <v>2761.3219999999997</v>
      </c>
      <c r="L229" s="2">
        <f t="shared" si="18"/>
        <v>2344.7709677419357</v>
      </c>
      <c r="M229" s="4">
        <f t="shared" si="19"/>
        <v>7.7432207772374804E-3</v>
      </c>
      <c r="N229" s="2" t="str">
        <f>TEXT(Table3[[#This Row],[Date]],"YYYY-MM")</f>
        <v>2025-03</v>
      </c>
      <c r="O229" s="2">
        <f>O228+Table3[[#This Row],[Volume]]</f>
        <v>68723320</v>
      </c>
    </row>
    <row r="230" spans="1:15" x14ac:dyDescent="0.35">
      <c r="A230" s="3" t="s">
        <v>19</v>
      </c>
      <c r="B230" s="2" t="s">
        <v>68</v>
      </c>
      <c r="C230" s="2">
        <v>2874.53</v>
      </c>
      <c r="D230" s="2">
        <v>2887.67</v>
      </c>
      <c r="E230" s="2">
        <v>2867.42</v>
      </c>
      <c r="F230" s="2">
        <v>2873.14</v>
      </c>
      <c r="G230" s="2">
        <v>2874.35</v>
      </c>
      <c r="H230" s="2">
        <v>221976</v>
      </c>
      <c r="I230" s="2">
        <f t="shared" si="15"/>
        <v>-4.8355731197807203E-4</v>
      </c>
      <c r="J230" s="2">
        <f t="shared" si="16"/>
        <v>2886.7037499999997</v>
      </c>
      <c r="K230" s="2">
        <f t="shared" si="17"/>
        <v>2701.2659999999992</v>
      </c>
      <c r="L230" s="2">
        <f t="shared" si="18"/>
        <v>2315.3938709677423</v>
      </c>
      <c r="M230" s="4">
        <f t="shared" si="19"/>
        <v>7.044629904714857E-3</v>
      </c>
      <c r="N230" s="2" t="str">
        <f>TEXT(Table3[[#This Row],[Date]],"YYYY-MM")</f>
        <v>2025-03</v>
      </c>
      <c r="O230" s="2">
        <f>O229+Table3[[#This Row],[Volume]]</f>
        <v>68945296</v>
      </c>
    </row>
    <row r="231" spans="1:15" x14ac:dyDescent="0.35">
      <c r="A231" s="3" t="s">
        <v>18</v>
      </c>
      <c r="B231" s="2" t="s">
        <v>68</v>
      </c>
      <c r="C231" s="2">
        <v>2886.84</v>
      </c>
      <c r="D231" s="2">
        <v>2897.67</v>
      </c>
      <c r="E231" s="2">
        <v>2877.77</v>
      </c>
      <c r="F231" s="2">
        <v>2886.21</v>
      </c>
      <c r="G231" s="2">
        <v>2887.52</v>
      </c>
      <c r="H231" s="2">
        <v>454936</v>
      </c>
      <c r="I231" s="2">
        <f t="shared" si="15"/>
        <v>-2.18231699713219E-4</v>
      </c>
      <c r="J231" s="2">
        <f t="shared" si="16"/>
        <v>2885.2574999999997</v>
      </c>
      <c r="K231" s="2">
        <f t="shared" si="17"/>
        <v>2640.6506666666664</v>
      </c>
      <c r="L231" s="2">
        <f t="shared" si="18"/>
        <v>2285.6419354838708</v>
      </c>
      <c r="M231" s="4">
        <f t="shared" si="19"/>
        <v>6.8933505147497232E-3</v>
      </c>
      <c r="N231" s="2" t="str">
        <f>TEXT(Table3[[#This Row],[Date]],"YYYY-MM")</f>
        <v>2025-03</v>
      </c>
      <c r="O231" s="2">
        <f>O230+Table3[[#This Row],[Volume]]</f>
        <v>69400232</v>
      </c>
    </row>
    <row r="232" spans="1:15" x14ac:dyDescent="0.35">
      <c r="A232" s="3" t="s">
        <v>17</v>
      </c>
      <c r="B232" s="2" t="s">
        <v>68</v>
      </c>
      <c r="C232" s="2">
        <v>2890.19</v>
      </c>
      <c r="D232" s="2">
        <v>2909.02</v>
      </c>
      <c r="E232" s="2">
        <v>2883.86</v>
      </c>
      <c r="F232" s="2">
        <v>2900.85</v>
      </c>
      <c r="G232" s="2">
        <v>2899.63</v>
      </c>
      <c r="H232" s="2">
        <v>447443</v>
      </c>
      <c r="I232" s="2">
        <f t="shared" si="15"/>
        <v>3.6883388289350714E-3</v>
      </c>
      <c r="J232" s="2">
        <f t="shared" si="16"/>
        <v>2884.9712499999996</v>
      </c>
      <c r="K232" s="2">
        <f t="shared" si="17"/>
        <v>2578.2513333333332</v>
      </c>
      <c r="L232" s="2">
        <f t="shared" si="18"/>
        <v>2255.4551612903219</v>
      </c>
      <c r="M232" s="4">
        <f t="shared" si="19"/>
        <v>8.7053100315203687E-3</v>
      </c>
      <c r="N232" s="2" t="str">
        <f>TEXT(Table3[[#This Row],[Date]],"YYYY-MM")</f>
        <v>2025-03</v>
      </c>
      <c r="O232" s="2">
        <f>O231+Table3[[#This Row],[Volume]]</f>
        <v>69847675</v>
      </c>
    </row>
    <row r="233" spans="1:15" x14ac:dyDescent="0.35">
      <c r="A233" s="3" t="s">
        <v>16</v>
      </c>
      <c r="B233" s="2" t="s">
        <v>68</v>
      </c>
      <c r="C233" s="2">
        <v>2890.09</v>
      </c>
      <c r="D233" s="2">
        <v>2903.29</v>
      </c>
      <c r="E233" s="2">
        <v>2882.32</v>
      </c>
      <c r="F233" s="2">
        <v>2883.01</v>
      </c>
      <c r="G233" s="2">
        <v>2884.89</v>
      </c>
      <c r="H233" s="2">
        <v>237271</v>
      </c>
      <c r="I233" s="2">
        <f t="shared" si="15"/>
        <v>-2.4497506998051709E-3</v>
      </c>
      <c r="J233" s="2">
        <f t="shared" si="16"/>
        <v>2885.3775000000001</v>
      </c>
      <c r="K233" s="2">
        <f t="shared" si="17"/>
        <v>2515.5133333333338</v>
      </c>
      <c r="L233" s="2">
        <f t="shared" si="18"/>
        <v>2225.4406451612899</v>
      </c>
      <c r="M233" s="4">
        <f t="shared" si="19"/>
        <v>7.2558294032365077E-3</v>
      </c>
      <c r="N233" s="2" t="str">
        <f>TEXT(Table3[[#This Row],[Date]],"YYYY-MM")</f>
        <v>2025-03</v>
      </c>
      <c r="O233" s="2">
        <f>O232+Table3[[#This Row],[Volume]]</f>
        <v>70084946</v>
      </c>
    </row>
    <row r="234" spans="1:15" x14ac:dyDescent="0.35">
      <c r="A234" s="3" t="s">
        <v>15</v>
      </c>
      <c r="B234" s="2" t="s">
        <v>68</v>
      </c>
      <c r="C234" s="2">
        <v>2882.66</v>
      </c>
      <c r="D234" s="2">
        <v>2901.3</v>
      </c>
      <c r="E234" s="2">
        <v>2873.78</v>
      </c>
      <c r="F234" s="2">
        <v>2887.51</v>
      </c>
      <c r="G234" s="2">
        <v>2888.16</v>
      </c>
      <c r="H234" s="2">
        <v>124549</v>
      </c>
      <c r="I234" s="2">
        <f t="shared" si="15"/>
        <v>1.6824738262578188E-3</v>
      </c>
      <c r="J234" s="2">
        <f t="shared" si="16"/>
        <v>2886.2537500000003</v>
      </c>
      <c r="K234" s="2">
        <f t="shared" si="17"/>
        <v>2452.0693333333338</v>
      </c>
      <c r="L234" s="2">
        <f t="shared" si="18"/>
        <v>2195.5793548387101</v>
      </c>
      <c r="M234" s="4">
        <f t="shared" si="19"/>
        <v>9.5467380821879725E-3</v>
      </c>
      <c r="N234" s="2" t="str">
        <f>TEXT(Table3[[#This Row],[Date]],"YYYY-MM")</f>
        <v>2025-03</v>
      </c>
      <c r="O234" s="2">
        <f>O233+Table3[[#This Row],[Volume]]</f>
        <v>70209495</v>
      </c>
    </row>
    <row r="235" spans="1:15" x14ac:dyDescent="0.35">
      <c r="A235" s="3" t="s">
        <v>14</v>
      </c>
      <c r="B235" s="2" t="s">
        <v>68</v>
      </c>
      <c r="C235" s="2">
        <v>2881.99</v>
      </c>
      <c r="D235" s="2">
        <v>2897.25</v>
      </c>
      <c r="E235" s="2">
        <v>2870.39</v>
      </c>
      <c r="F235" s="2">
        <v>2882.36</v>
      </c>
      <c r="G235" s="2">
        <v>2880.85</v>
      </c>
      <c r="H235" s="2">
        <v>424017</v>
      </c>
      <c r="I235" s="2">
        <f t="shared" si="15"/>
        <v>1.2838351278121911E-4</v>
      </c>
      <c r="J235" s="2">
        <f t="shared" si="16"/>
        <v>2767.7500000000005</v>
      </c>
      <c r="K235" s="2">
        <f t="shared" si="17"/>
        <v>2389.7006666666666</v>
      </c>
      <c r="L235" s="2">
        <f t="shared" si="18"/>
        <v>2165.3022580645165</v>
      </c>
      <c r="M235" s="4">
        <f t="shared" si="19"/>
        <v>9.3199490629738927E-3</v>
      </c>
      <c r="N235" s="2" t="str">
        <f>TEXT(Table3[[#This Row],[Date]],"YYYY-MM")</f>
        <v>2025-03</v>
      </c>
      <c r="O235" s="2">
        <f>O234+Table3[[#This Row],[Volume]]</f>
        <v>70633512</v>
      </c>
    </row>
    <row r="236" spans="1:15" x14ac:dyDescent="0.35">
      <c r="A236" s="3" t="s">
        <v>13</v>
      </c>
      <c r="B236" s="2" t="s">
        <v>68</v>
      </c>
      <c r="C236" s="2">
        <v>2913.59</v>
      </c>
      <c r="D236" s="2">
        <v>2919.29</v>
      </c>
      <c r="E236" s="2">
        <v>2899.48</v>
      </c>
      <c r="F236" s="2">
        <v>2911.36</v>
      </c>
      <c r="G236" s="2">
        <v>2910.04</v>
      </c>
      <c r="H236" s="2">
        <v>130980</v>
      </c>
      <c r="I236" s="2">
        <f t="shared" si="15"/>
        <v>-7.6537879385912843E-4</v>
      </c>
      <c r="J236" s="2">
        <f t="shared" si="16"/>
        <v>2653.1737500000004</v>
      </c>
      <c r="K236" s="2">
        <f t="shared" si="17"/>
        <v>2328.0193333333332</v>
      </c>
      <c r="L236" s="2">
        <f t="shared" si="18"/>
        <v>2135.5048387096776</v>
      </c>
      <c r="M236" s="4">
        <f t="shared" si="19"/>
        <v>6.7991721553135286E-3</v>
      </c>
      <c r="N236" s="2" t="str">
        <f>TEXT(Table3[[#This Row],[Date]],"YYYY-MM")</f>
        <v>2025-03</v>
      </c>
      <c r="O236" s="2">
        <f>O235+Table3[[#This Row],[Volume]]</f>
        <v>70764492</v>
      </c>
    </row>
    <row r="237" spans="1:15" x14ac:dyDescent="0.35">
      <c r="A237" s="3" t="s">
        <v>12</v>
      </c>
      <c r="B237" s="2" t="s">
        <v>68</v>
      </c>
      <c r="C237" s="2">
        <v>2878.92</v>
      </c>
      <c r="D237" s="2">
        <v>2890.76</v>
      </c>
      <c r="E237" s="2">
        <v>2862.14</v>
      </c>
      <c r="F237" s="2">
        <v>2869.39</v>
      </c>
      <c r="G237" s="2">
        <v>2868.19</v>
      </c>
      <c r="H237" s="2">
        <v>390916</v>
      </c>
      <c r="I237" s="2">
        <f t="shared" si="15"/>
        <v>-3.3102691287011099E-3</v>
      </c>
      <c r="J237" s="2">
        <f t="shared" si="16"/>
        <v>2536.6937500000004</v>
      </c>
      <c r="K237" s="2">
        <f t="shared" si="17"/>
        <v>2264.7960000000003</v>
      </c>
      <c r="L237" s="2">
        <f t="shared" si="18"/>
        <v>2104.3590322580644</v>
      </c>
      <c r="M237" s="4">
        <f t="shared" si="19"/>
        <v>9.9412279604853011E-3</v>
      </c>
      <c r="N237" s="2" t="str">
        <f>TEXT(Table3[[#This Row],[Date]],"YYYY-MM")</f>
        <v>2025-03</v>
      </c>
      <c r="O237" s="2">
        <f>O236+Table3[[#This Row],[Volume]]</f>
        <v>71155408</v>
      </c>
    </row>
    <row r="238" spans="1:15" x14ac:dyDescent="0.35">
      <c r="A238" s="3" t="s">
        <v>11</v>
      </c>
      <c r="B238" s="2" t="s">
        <v>68</v>
      </c>
      <c r="C238" s="2">
        <v>2861.87</v>
      </c>
      <c r="D238" s="2">
        <v>2871.24</v>
      </c>
      <c r="E238" s="2">
        <v>2847.69</v>
      </c>
      <c r="F238" s="2">
        <v>2864.22</v>
      </c>
      <c r="G238" s="2">
        <v>2862.78</v>
      </c>
      <c r="H238" s="2">
        <v>488073</v>
      </c>
      <c r="I238" s="2">
        <f t="shared" si="15"/>
        <v>8.211414215180666E-4</v>
      </c>
      <c r="J238" s="2">
        <f t="shared" si="16"/>
        <v>2423.8099999999995</v>
      </c>
      <c r="K238" s="2">
        <f t="shared" si="17"/>
        <v>2203.89</v>
      </c>
      <c r="L238" s="2">
        <f t="shared" si="18"/>
        <v>2074.9209677419353</v>
      </c>
      <c r="M238" s="4">
        <f t="shared" si="19"/>
        <v>8.2288853092557408E-3</v>
      </c>
      <c r="N238" s="2" t="str">
        <f>TEXT(Table3[[#This Row],[Date]],"YYYY-MM")</f>
        <v>2025-03</v>
      </c>
      <c r="O238" s="2">
        <f>O237+Table3[[#This Row],[Volume]]</f>
        <v>71643481</v>
      </c>
    </row>
    <row r="239" spans="1:15" x14ac:dyDescent="0.35">
      <c r="A239" s="3" t="s">
        <v>10</v>
      </c>
      <c r="B239" s="2" t="s">
        <v>68</v>
      </c>
      <c r="C239" s="2">
        <v>2883.31</v>
      </c>
      <c r="D239" s="2">
        <v>2891.04</v>
      </c>
      <c r="E239" s="2">
        <v>2875.56</v>
      </c>
      <c r="F239" s="2">
        <v>2886.01</v>
      </c>
      <c r="G239" s="2">
        <v>2885.23</v>
      </c>
      <c r="H239" s="2">
        <v>284736</v>
      </c>
      <c r="I239" s="2">
        <f t="shared" si="15"/>
        <v>9.3642376296696264E-4</v>
      </c>
      <c r="J239" s="2">
        <f t="shared" si="16"/>
        <v>2309.9037499999999</v>
      </c>
      <c r="K239" s="2">
        <f t="shared" si="17"/>
        <v>2143.1433333333334</v>
      </c>
      <c r="L239" s="2">
        <f t="shared" si="18"/>
        <v>2045.1845161290321</v>
      </c>
      <c r="M239" s="4">
        <f t="shared" si="19"/>
        <v>5.3688295743433822E-3</v>
      </c>
      <c r="N239" s="2" t="str">
        <f>TEXT(Table3[[#This Row],[Date]],"YYYY-MM")</f>
        <v>2025-03</v>
      </c>
      <c r="O239" s="2">
        <f>O238+Table3[[#This Row],[Volume]]</f>
        <v>71928217</v>
      </c>
    </row>
    <row r="240" spans="1:15" x14ac:dyDescent="0.35">
      <c r="A240" s="3" t="s">
        <v>9</v>
      </c>
      <c r="B240" s="2" t="s">
        <v>68</v>
      </c>
      <c r="C240" s="2">
        <v>2890.79</v>
      </c>
      <c r="D240" s="2">
        <v>2906.41</v>
      </c>
      <c r="E240" s="2">
        <v>2885.48</v>
      </c>
      <c r="F240" s="2">
        <v>2901</v>
      </c>
      <c r="G240" s="2">
        <v>2902.88</v>
      </c>
      <c r="H240" s="2">
        <v>327903</v>
      </c>
      <c r="I240" s="2">
        <f t="shared" si="15"/>
        <v>3.5319065030666483E-3</v>
      </c>
      <c r="J240" s="2">
        <f t="shared" si="16"/>
        <v>2194.0700000000002</v>
      </c>
      <c r="K240" s="2">
        <f t="shared" si="17"/>
        <v>2080.6066666666666</v>
      </c>
      <c r="L240" s="2">
        <f t="shared" si="18"/>
        <v>2015.4309677419353</v>
      </c>
      <c r="M240" s="4">
        <f t="shared" si="19"/>
        <v>7.2402353681864946E-3</v>
      </c>
      <c r="N240" s="2" t="str">
        <f>TEXT(Table3[[#This Row],[Date]],"YYYY-MM")</f>
        <v>2025-03</v>
      </c>
      <c r="O240" s="2">
        <f>O239+Table3[[#This Row],[Volume]]</f>
        <v>72256120</v>
      </c>
    </row>
    <row r="241" spans="1:15" x14ac:dyDescent="0.35">
      <c r="A241" s="3" t="s">
        <v>8</v>
      </c>
      <c r="B241" s="2" t="s">
        <v>68</v>
      </c>
      <c r="C241" s="2">
        <v>2892.97</v>
      </c>
      <c r="D241" s="2">
        <v>2908.95</v>
      </c>
      <c r="E241" s="2">
        <v>2878.99</v>
      </c>
      <c r="F241" s="2">
        <v>2893.28</v>
      </c>
      <c r="G241" s="2">
        <v>2891.9</v>
      </c>
      <c r="H241" s="2">
        <v>114835</v>
      </c>
      <c r="I241" s="2">
        <f t="shared" si="15"/>
        <v>1.0715631340815846E-4</v>
      </c>
      <c r="J241" s="2">
        <f t="shared" si="16"/>
        <v>2072.86375</v>
      </c>
      <c r="K241" s="2">
        <f t="shared" si="17"/>
        <v>2017.2080000000001</v>
      </c>
      <c r="L241" s="2">
        <f t="shared" si="18"/>
        <v>1984.836129032258</v>
      </c>
      <c r="M241" s="4">
        <f t="shared" si="19"/>
        <v>1.0356139192594475E-2</v>
      </c>
      <c r="N241" s="2" t="str">
        <f>TEXT(Table3[[#This Row],[Date]],"YYYY-MM")</f>
        <v>2025-03</v>
      </c>
      <c r="O241" s="2">
        <f>O240+Table3[[#This Row],[Volume]]</f>
        <v>72370955</v>
      </c>
    </row>
    <row r="242" spans="1:15" x14ac:dyDescent="0.35">
      <c r="A242" s="3" t="s">
        <v>67</v>
      </c>
      <c r="B242" s="2" t="s">
        <v>70</v>
      </c>
      <c r="C242" s="2">
        <v>1942.81</v>
      </c>
      <c r="D242" s="2">
        <v>1955.94</v>
      </c>
      <c r="E242" s="2">
        <v>1924.72</v>
      </c>
      <c r="F242" s="2">
        <v>1939.2</v>
      </c>
      <c r="G242" s="2">
        <v>1940.13</v>
      </c>
      <c r="H242" s="2">
        <v>337155</v>
      </c>
      <c r="I242" s="2">
        <f t="shared" si="15"/>
        <v>-1.8581333223526232E-3</v>
      </c>
      <c r="J242" s="2">
        <f t="shared" si="16"/>
        <v>1955.4549999999999</v>
      </c>
      <c r="K242" s="2">
        <f t="shared" si="17"/>
        <v>1955.5126666666667</v>
      </c>
      <c r="L242" s="2">
        <f t="shared" si="18"/>
        <v>1954.9722580645164</v>
      </c>
      <c r="M242" s="4">
        <f t="shared" si="19"/>
        <v>1.6069507568933671E-2</v>
      </c>
      <c r="N242" s="2" t="str">
        <f>TEXT(Table3[[#This Row],[Date]],"YYYY-MM")</f>
        <v>2025-05</v>
      </c>
      <c r="O242" s="2">
        <f>O241+Table3[[#This Row],[Volume]]</f>
        <v>72708110</v>
      </c>
    </row>
    <row r="243" spans="1:15" x14ac:dyDescent="0.35">
      <c r="A243" s="3" t="s">
        <v>66</v>
      </c>
      <c r="B243" s="2" t="s">
        <v>70</v>
      </c>
      <c r="C243" s="2">
        <v>1962.32</v>
      </c>
      <c r="D243" s="2">
        <v>1971.4</v>
      </c>
      <c r="E243" s="2">
        <v>1948.47</v>
      </c>
      <c r="F243" s="2">
        <v>1964.8</v>
      </c>
      <c r="G243" s="2">
        <v>1964.24</v>
      </c>
      <c r="H243" s="2">
        <v>379761</v>
      </c>
      <c r="I243" s="2">
        <f t="shared" si="15"/>
        <v>1.2638101838640071E-3</v>
      </c>
      <c r="J243" s="2">
        <f t="shared" si="16"/>
        <v>1957.3924999999999</v>
      </c>
      <c r="K243" s="2">
        <f t="shared" si="17"/>
        <v>1956.3053333333332</v>
      </c>
      <c r="L243" s="2">
        <f t="shared" si="18"/>
        <v>1954.7787096774193</v>
      </c>
      <c r="M243" s="4">
        <f t="shared" si="19"/>
        <v>1.1685148191936109E-2</v>
      </c>
      <c r="N243" s="2" t="str">
        <f>TEXT(Table3[[#This Row],[Date]],"YYYY-MM")</f>
        <v>2025-05</v>
      </c>
      <c r="O243" s="2">
        <f>O242+Table3[[#This Row],[Volume]]</f>
        <v>73087871</v>
      </c>
    </row>
    <row r="244" spans="1:15" x14ac:dyDescent="0.35">
      <c r="A244" s="3" t="s">
        <v>65</v>
      </c>
      <c r="B244" s="2" t="s">
        <v>70</v>
      </c>
      <c r="C244" s="2">
        <v>1975.75</v>
      </c>
      <c r="D244" s="2">
        <v>1987.27</v>
      </c>
      <c r="E244" s="2">
        <v>1967.05</v>
      </c>
      <c r="F244" s="2">
        <v>1976.92</v>
      </c>
      <c r="G244" s="2">
        <v>1978.2</v>
      </c>
      <c r="H244" s="2">
        <v>332705</v>
      </c>
      <c r="I244" s="2">
        <f t="shared" si="15"/>
        <v>5.9218018474000897E-4</v>
      </c>
      <c r="J244" s="2">
        <f t="shared" si="16"/>
        <v>1957.0737500000002</v>
      </c>
      <c r="K244" s="2">
        <f t="shared" si="17"/>
        <v>1954.4886666666673</v>
      </c>
      <c r="L244" s="2">
        <f t="shared" si="18"/>
        <v>1955.4783870967747</v>
      </c>
      <c r="M244" s="4">
        <f t="shared" si="19"/>
        <v>1.0234088320890814E-2</v>
      </c>
      <c r="N244" s="2" t="str">
        <f>TEXT(Table3[[#This Row],[Date]],"YYYY-MM")</f>
        <v>2025-05</v>
      </c>
      <c r="O244" s="2">
        <f>O243+Table3[[#This Row],[Volume]]</f>
        <v>73420576</v>
      </c>
    </row>
    <row r="245" spans="1:15" x14ac:dyDescent="0.35">
      <c r="A245" s="3" t="s">
        <v>64</v>
      </c>
      <c r="B245" s="2" t="s">
        <v>70</v>
      </c>
      <c r="C245" s="2">
        <v>1967.49</v>
      </c>
      <c r="D245" s="2">
        <v>1974.09</v>
      </c>
      <c r="E245" s="2">
        <v>1961.36</v>
      </c>
      <c r="F245" s="2">
        <v>1964.21</v>
      </c>
      <c r="G245" s="2">
        <v>1965.12</v>
      </c>
      <c r="H245" s="2">
        <v>302744</v>
      </c>
      <c r="I245" s="2">
        <f t="shared" si="15"/>
        <v>-1.6670986891928156E-3</v>
      </c>
      <c r="J245" s="2">
        <f t="shared" si="16"/>
        <v>1954.1237500000002</v>
      </c>
      <c r="K245" s="2">
        <f t="shared" si="17"/>
        <v>1952.6580000000004</v>
      </c>
      <c r="L245" s="2">
        <f t="shared" si="18"/>
        <v>1954.4096774193549</v>
      </c>
      <c r="M245" s="4">
        <f t="shared" si="19"/>
        <v>6.4701726565319353E-3</v>
      </c>
      <c r="N245" s="2" t="str">
        <f>TEXT(Table3[[#This Row],[Date]],"YYYY-MM")</f>
        <v>2025-05</v>
      </c>
      <c r="O245" s="2">
        <f>O244+Table3[[#This Row],[Volume]]</f>
        <v>73723320</v>
      </c>
    </row>
    <row r="246" spans="1:15" x14ac:dyDescent="0.35">
      <c r="A246" s="3" t="s">
        <v>63</v>
      </c>
      <c r="B246" s="2" t="s">
        <v>70</v>
      </c>
      <c r="C246" s="2">
        <v>1962.08</v>
      </c>
      <c r="D246" s="2">
        <v>1967.85</v>
      </c>
      <c r="E246" s="2">
        <v>1949.63</v>
      </c>
      <c r="F246" s="2">
        <v>1951.14</v>
      </c>
      <c r="G246" s="2">
        <v>1951.53</v>
      </c>
      <c r="H246" s="2">
        <v>392564</v>
      </c>
      <c r="I246" s="2">
        <f t="shared" si="15"/>
        <v>-5.5757155671531371E-3</v>
      </c>
      <c r="J246" s="2">
        <f t="shared" si="16"/>
        <v>1952.4312500000001</v>
      </c>
      <c r="K246" s="2">
        <f t="shared" si="17"/>
        <v>1952.8733333333337</v>
      </c>
      <c r="L246" s="2">
        <f t="shared" si="18"/>
        <v>1953.9941935483873</v>
      </c>
      <c r="M246" s="4">
        <f t="shared" si="19"/>
        <v>9.2860637690613031E-3</v>
      </c>
      <c r="N246" s="2" t="str">
        <f>TEXT(Table3[[#This Row],[Date]],"YYYY-MM")</f>
        <v>2025-05</v>
      </c>
      <c r="O246" s="2">
        <f>O245+Table3[[#This Row],[Volume]]</f>
        <v>74115884</v>
      </c>
    </row>
    <row r="247" spans="1:15" x14ac:dyDescent="0.35">
      <c r="A247" s="3" t="s">
        <v>62</v>
      </c>
      <c r="B247" s="2" t="s">
        <v>70</v>
      </c>
      <c r="C247" s="2">
        <v>1946.51</v>
      </c>
      <c r="D247" s="2">
        <v>1961.47</v>
      </c>
      <c r="E247" s="2">
        <v>1927.46</v>
      </c>
      <c r="F247" s="2">
        <v>1957.63</v>
      </c>
      <c r="G247" s="2">
        <v>1958.56</v>
      </c>
      <c r="H247" s="2">
        <v>234357</v>
      </c>
      <c r="I247" s="2">
        <f t="shared" si="15"/>
        <v>5.7127885292138844E-3</v>
      </c>
      <c r="J247" s="2">
        <f t="shared" si="16"/>
        <v>1951.8875</v>
      </c>
      <c r="K247" s="2">
        <f t="shared" si="17"/>
        <v>1952.9073333333336</v>
      </c>
      <c r="L247" s="2">
        <f t="shared" si="18"/>
        <v>1954.473870967742</v>
      </c>
      <c r="M247" s="4">
        <f t="shared" si="19"/>
        <v>1.7472296571813137E-2</v>
      </c>
      <c r="N247" s="2" t="str">
        <f>TEXT(Table3[[#This Row],[Date]],"YYYY-MM")</f>
        <v>2025-05</v>
      </c>
      <c r="O247" s="2">
        <f>O246+Table3[[#This Row],[Volume]]</f>
        <v>74350241</v>
      </c>
    </row>
    <row r="248" spans="1:15" x14ac:dyDescent="0.35">
      <c r="A248" s="3" t="s">
        <v>61</v>
      </c>
      <c r="B248" s="2" t="s">
        <v>70</v>
      </c>
      <c r="C248" s="2">
        <v>1940.76</v>
      </c>
      <c r="D248" s="2">
        <v>1951.1</v>
      </c>
      <c r="E248" s="2">
        <v>1924.97</v>
      </c>
      <c r="F248" s="2">
        <v>1934.04</v>
      </c>
      <c r="G248" s="2">
        <v>1933.23</v>
      </c>
      <c r="H248" s="2">
        <v>118793</v>
      </c>
      <c r="I248" s="2">
        <f t="shared" si="15"/>
        <v>-3.4625610585543947E-3</v>
      </c>
      <c r="J248" s="2">
        <f t="shared" si="16"/>
        <v>1951.0550000000001</v>
      </c>
      <c r="K248" s="2">
        <f t="shared" si="17"/>
        <v>1952.4520000000002</v>
      </c>
      <c r="L248" s="2">
        <f t="shared" si="18"/>
        <v>1954.3270967741935</v>
      </c>
      <c r="M248" s="4">
        <f t="shared" si="19"/>
        <v>1.3463797687503803E-2</v>
      </c>
      <c r="N248" s="2" t="str">
        <f>TEXT(Table3[[#This Row],[Date]],"YYYY-MM")</f>
        <v>2025-05</v>
      </c>
      <c r="O248" s="2">
        <f>O247+Table3[[#This Row],[Volume]]</f>
        <v>74469034</v>
      </c>
    </row>
    <row r="249" spans="1:15" x14ac:dyDescent="0.35">
      <c r="A249" s="3" t="s">
        <v>60</v>
      </c>
      <c r="B249" s="2" t="s">
        <v>70</v>
      </c>
      <c r="C249" s="2">
        <v>1961.18</v>
      </c>
      <c r="D249" s="2">
        <v>1967.42</v>
      </c>
      <c r="E249" s="2">
        <v>1947.13</v>
      </c>
      <c r="F249" s="2">
        <v>1953.65</v>
      </c>
      <c r="G249" s="2">
        <v>1952.63</v>
      </c>
      <c r="H249" s="2">
        <v>106869</v>
      </c>
      <c r="I249" s="2">
        <f t="shared" si="15"/>
        <v>-3.8395251838178913E-3</v>
      </c>
      <c r="J249" s="2">
        <f t="shared" si="16"/>
        <v>1955.21</v>
      </c>
      <c r="K249" s="2">
        <f t="shared" si="17"/>
        <v>1954.848666666667</v>
      </c>
      <c r="L249" s="2">
        <f t="shared" si="18"/>
        <v>1955.1596774193549</v>
      </c>
      <c r="M249" s="4">
        <f t="shared" si="19"/>
        <v>1.0345812215094974E-2</v>
      </c>
      <c r="N249" s="2" t="str">
        <f>TEXT(Table3[[#This Row],[Date]],"YYYY-MM")</f>
        <v>2025-05</v>
      </c>
      <c r="O249" s="2">
        <f>O248+Table3[[#This Row],[Volume]]</f>
        <v>74575903</v>
      </c>
    </row>
    <row r="250" spans="1:15" x14ac:dyDescent="0.35">
      <c r="A250" s="3" t="s">
        <v>59</v>
      </c>
      <c r="B250" s="2" t="s">
        <v>70</v>
      </c>
      <c r="C250" s="2">
        <v>1954.42</v>
      </c>
      <c r="D250" s="2">
        <v>1965.17</v>
      </c>
      <c r="E250" s="2">
        <v>1941.64</v>
      </c>
      <c r="F250" s="2">
        <v>1957.44</v>
      </c>
      <c r="G250" s="2">
        <v>1955.63</v>
      </c>
      <c r="H250" s="2">
        <v>152259</v>
      </c>
      <c r="I250" s="2">
        <f t="shared" si="15"/>
        <v>1.545215460341166E-3</v>
      </c>
      <c r="J250" s="2">
        <f t="shared" si="16"/>
        <v>1955.13375</v>
      </c>
      <c r="K250" s="2">
        <f t="shared" si="17"/>
        <v>1955.2860000000001</v>
      </c>
      <c r="L250" s="2">
        <f t="shared" si="18"/>
        <v>1954.9103225806452</v>
      </c>
      <c r="M250" s="4">
        <f t="shared" si="19"/>
        <v>1.2039377411201263E-2</v>
      </c>
      <c r="N250" s="2" t="str">
        <f>TEXT(Table3[[#This Row],[Date]],"YYYY-MM")</f>
        <v>2025-05</v>
      </c>
      <c r="O250" s="2">
        <f>O249+Table3[[#This Row],[Volume]]</f>
        <v>74728162</v>
      </c>
    </row>
    <row r="251" spans="1:15" x14ac:dyDescent="0.35">
      <c r="A251" s="3" t="s">
        <v>58</v>
      </c>
      <c r="B251" s="2" t="s">
        <v>70</v>
      </c>
      <c r="C251" s="2">
        <v>1958.56</v>
      </c>
      <c r="D251" s="2">
        <v>1972.57</v>
      </c>
      <c r="E251" s="2">
        <v>1943.58</v>
      </c>
      <c r="F251" s="2">
        <v>1962.99</v>
      </c>
      <c r="G251" s="2">
        <v>1961.69</v>
      </c>
      <c r="H251" s="2">
        <v>390218</v>
      </c>
      <c r="I251" s="2">
        <f t="shared" si="15"/>
        <v>2.2618658606323337E-3</v>
      </c>
      <c r="J251" s="2">
        <f t="shared" si="16"/>
        <v>1952.80375</v>
      </c>
      <c r="K251" s="2">
        <f t="shared" si="17"/>
        <v>1954.8820000000001</v>
      </c>
      <c r="L251" s="2">
        <f t="shared" si="18"/>
        <v>1955.4261290322584</v>
      </c>
      <c r="M251" s="4">
        <f t="shared" si="19"/>
        <v>1.4801691038313868E-2</v>
      </c>
      <c r="N251" s="2" t="str">
        <f>TEXT(Table3[[#This Row],[Date]],"YYYY-MM")</f>
        <v>2025-05</v>
      </c>
      <c r="O251" s="2">
        <f>O250+Table3[[#This Row],[Volume]]</f>
        <v>75118380</v>
      </c>
    </row>
    <row r="252" spans="1:15" x14ac:dyDescent="0.35">
      <c r="A252" s="3" t="s">
        <v>57</v>
      </c>
      <c r="B252" s="2" t="s">
        <v>70</v>
      </c>
      <c r="C252" s="2">
        <v>1951.31</v>
      </c>
      <c r="D252" s="2">
        <v>1956.47</v>
      </c>
      <c r="E252" s="2">
        <v>1944.26</v>
      </c>
      <c r="F252" s="2">
        <v>1953</v>
      </c>
      <c r="G252" s="2">
        <v>1954.6</v>
      </c>
      <c r="H252" s="2">
        <v>146301</v>
      </c>
      <c r="I252" s="2">
        <f t="shared" si="15"/>
        <v>8.6608483531579021E-4</v>
      </c>
      <c r="J252" s="2">
        <f t="shared" si="16"/>
        <v>1951.4349999999999</v>
      </c>
      <c r="K252" s="2">
        <f t="shared" si="17"/>
        <v>1954.578</v>
      </c>
      <c r="L252" s="2">
        <f t="shared" si="18"/>
        <v>1955.5954838709679</v>
      </c>
      <c r="M252" s="4">
        <f t="shared" si="19"/>
        <v>6.2573348160979226E-3</v>
      </c>
      <c r="N252" s="2" t="str">
        <f>TEXT(Table3[[#This Row],[Date]],"YYYY-MM")</f>
        <v>2025-05</v>
      </c>
      <c r="O252" s="2">
        <f>O251+Table3[[#This Row],[Volume]]</f>
        <v>75264681</v>
      </c>
    </row>
    <row r="253" spans="1:15" x14ac:dyDescent="0.35">
      <c r="A253" s="3" t="s">
        <v>56</v>
      </c>
      <c r="B253" s="2" t="s">
        <v>70</v>
      </c>
      <c r="C253" s="2">
        <v>1957.96</v>
      </c>
      <c r="D253" s="2">
        <v>1967.07</v>
      </c>
      <c r="E253" s="2">
        <v>1944.65</v>
      </c>
      <c r="F253" s="2">
        <v>1950.97</v>
      </c>
      <c r="G253" s="2">
        <v>1951.58</v>
      </c>
      <c r="H253" s="2">
        <v>452208</v>
      </c>
      <c r="I253" s="2">
        <f t="shared" si="15"/>
        <v>-3.5700422889129546E-3</v>
      </c>
      <c r="J253" s="2">
        <f t="shared" si="16"/>
        <v>1953.1537499999999</v>
      </c>
      <c r="K253" s="2">
        <f t="shared" si="17"/>
        <v>1953.9059999999999</v>
      </c>
      <c r="L253" s="2">
        <f t="shared" si="18"/>
        <v>1955.5390322580649</v>
      </c>
      <c r="M253" s="4">
        <f t="shared" si="19"/>
        <v>1.1450693579031158E-2</v>
      </c>
      <c r="N253" s="2" t="str">
        <f>TEXT(Table3[[#This Row],[Date]],"YYYY-MM")</f>
        <v>2025-05</v>
      </c>
      <c r="O253" s="2">
        <f>O252+Table3[[#This Row],[Volume]]</f>
        <v>75716889</v>
      </c>
    </row>
    <row r="254" spans="1:15" x14ac:dyDescent="0.35">
      <c r="A254" s="3" t="s">
        <v>55</v>
      </c>
      <c r="B254" s="2" t="s">
        <v>70</v>
      </c>
      <c r="C254" s="2">
        <v>1943.12</v>
      </c>
      <c r="D254" s="2">
        <v>1952.2</v>
      </c>
      <c r="E254" s="2">
        <v>1937.84</v>
      </c>
      <c r="F254" s="2">
        <v>1945.52</v>
      </c>
      <c r="G254" s="2">
        <v>1947.18</v>
      </c>
      <c r="H254" s="2">
        <v>388550</v>
      </c>
      <c r="I254" s="2">
        <f t="shared" si="15"/>
        <v>1.2351270122278042E-3</v>
      </c>
      <c r="J254" s="2">
        <f t="shared" si="16"/>
        <v>1953.2112499999998</v>
      </c>
      <c r="K254" s="2">
        <f t="shared" si="17"/>
        <v>1954.1746666666666</v>
      </c>
      <c r="L254" s="2">
        <f t="shared" si="18"/>
        <v>1955.6364516129036</v>
      </c>
      <c r="M254" s="4">
        <f t="shared" si="19"/>
        <v>7.3901766231628148E-3</v>
      </c>
      <c r="N254" s="2" t="str">
        <f>TEXT(Table3[[#This Row],[Date]],"YYYY-MM")</f>
        <v>2025-05</v>
      </c>
      <c r="O254" s="2">
        <f>O253+Table3[[#This Row],[Volume]]</f>
        <v>76105439</v>
      </c>
    </row>
    <row r="255" spans="1:15" x14ac:dyDescent="0.35">
      <c r="A255" s="3" t="s">
        <v>54</v>
      </c>
      <c r="B255" s="2" t="s">
        <v>70</v>
      </c>
      <c r="C255" s="2">
        <v>1959.08</v>
      </c>
      <c r="D255" s="2">
        <v>1973.58</v>
      </c>
      <c r="E255" s="2">
        <v>1950.21</v>
      </c>
      <c r="F255" s="2">
        <v>1953.34</v>
      </c>
      <c r="G255" s="2">
        <v>1951.9</v>
      </c>
      <c r="H255" s="2">
        <v>172023</v>
      </c>
      <c r="I255" s="2">
        <f t="shared" si="15"/>
        <v>-2.9299467096800588E-3</v>
      </c>
      <c r="J255" s="2">
        <f t="shared" si="16"/>
        <v>1953.7799999999997</v>
      </c>
      <c r="K255" s="2">
        <f t="shared" si="17"/>
        <v>1953.7593333333332</v>
      </c>
      <c r="L255" s="2">
        <f t="shared" si="18"/>
        <v>1956.0348387096774</v>
      </c>
      <c r="M255" s="4">
        <f t="shared" si="19"/>
        <v>1.1929068746554449E-2</v>
      </c>
      <c r="N255" s="2" t="str">
        <f>TEXT(Table3[[#This Row],[Date]],"YYYY-MM")</f>
        <v>2025-05</v>
      </c>
      <c r="O255" s="2">
        <f>O254+Table3[[#This Row],[Volume]]</f>
        <v>76277462</v>
      </c>
    </row>
    <row r="256" spans="1:15" x14ac:dyDescent="0.35">
      <c r="A256" s="3" t="s">
        <v>53</v>
      </c>
      <c r="B256" s="2" t="s">
        <v>70</v>
      </c>
      <c r="C256" s="2">
        <v>1965.72</v>
      </c>
      <c r="D256" s="2">
        <v>1982.72</v>
      </c>
      <c r="E256" s="2">
        <v>1954.34</v>
      </c>
      <c r="F256" s="2">
        <v>1968.38</v>
      </c>
      <c r="G256" s="2">
        <v>1966.47</v>
      </c>
      <c r="H256" s="2">
        <v>352871</v>
      </c>
      <c r="I256" s="2">
        <f t="shared" si="15"/>
        <v>1.3531937407159117E-3</v>
      </c>
      <c r="J256" s="2">
        <f t="shared" si="16"/>
        <v>1955.94</v>
      </c>
      <c r="K256" s="2">
        <f t="shared" si="17"/>
        <v>1954.4906666666668</v>
      </c>
      <c r="L256" s="2">
        <f t="shared" si="18"/>
        <v>1955.981935483871</v>
      </c>
      <c r="M256" s="4">
        <f t="shared" si="19"/>
        <v>1.4437458030645315E-2</v>
      </c>
      <c r="N256" s="2" t="str">
        <f>TEXT(Table3[[#This Row],[Date]],"YYYY-MM")</f>
        <v>2025-05</v>
      </c>
      <c r="O256" s="2">
        <f>O255+Table3[[#This Row],[Volume]]</f>
        <v>76630333</v>
      </c>
    </row>
    <row r="257" spans="1:15" x14ac:dyDescent="0.35">
      <c r="A257" s="3" t="s">
        <v>52</v>
      </c>
      <c r="B257" s="2" t="s">
        <v>70</v>
      </c>
      <c r="C257" s="2">
        <v>1943.2</v>
      </c>
      <c r="D257" s="2">
        <v>1956.48</v>
      </c>
      <c r="E257" s="2">
        <v>1931.66</v>
      </c>
      <c r="F257" s="2">
        <v>1952.84</v>
      </c>
      <c r="G257" s="2">
        <v>1952.02</v>
      </c>
      <c r="H257" s="2">
        <v>439556</v>
      </c>
      <c r="I257" s="2">
        <f t="shared" si="15"/>
        <v>4.9608892548373158E-3</v>
      </c>
      <c r="J257" s="2">
        <f t="shared" si="16"/>
        <v>1955.03</v>
      </c>
      <c r="K257" s="2">
        <f t="shared" si="17"/>
        <v>1953.6886666666667</v>
      </c>
      <c r="L257" s="2">
        <f t="shared" si="18"/>
        <v>1955.7283870967744</v>
      </c>
      <c r="M257" s="4">
        <f t="shared" si="19"/>
        <v>1.2772745986002436E-2</v>
      </c>
      <c r="N257" s="2" t="str">
        <f>TEXT(Table3[[#This Row],[Date]],"YYYY-MM")</f>
        <v>2025-05</v>
      </c>
      <c r="O257" s="2">
        <f>O256+Table3[[#This Row],[Volume]]</f>
        <v>77069889</v>
      </c>
    </row>
    <row r="258" spans="1:15" x14ac:dyDescent="0.35">
      <c r="A258" s="3" t="s">
        <v>51</v>
      </c>
      <c r="B258" s="2" t="s">
        <v>70</v>
      </c>
      <c r="C258" s="2">
        <v>1943.58</v>
      </c>
      <c r="D258" s="2">
        <v>1954.28</v>
      </c>
      <c r="E258" s="2">
        <v>1929.73</v>
      </c>
      <c r="F258" s="2">
        <v>1937.92</v>
      </c>
      <c r="G258" s="2">
        <v>1936.99</v>
      </c>
      <c r="H258" s="2">
        <v>279526</v>
      </c>
      <c r="I258" s="2">
        <f t="shared" ref="I258:I301" si="20">(F258-C258)/C258</f>
        <v>-2.9121518023440532E-3</v>
      </c>
      <c r="J258" s="2">
        <f t="shared" ref="J258:J301" si="21">AVERAGE(G258:G265)</f>
        <v>1954.7237500000001</v>
      </c>
      <c r="K258" s="2">
        <f t="shared" ref="K258:K301" si="22">AVERAGE(G258:G272)</f>
        <v>1954.6286666666667</v>
      </c>
      <c r="L258" s="2">
        <f t="shared" ref="L258:L301" si="23">AVERAGE(G258:G288)</f>
        <v>1955.1712903225807</v>
      </c>
      <c r="M258" s="4">
        <f t="shared" ref="M258:M301" si="24">(D258-E258)/C258</f>
        <v>1.2631329814054454E-2</v>
      </c>
      <c r="N258" s="2" t="str">
        <f>TEXT(Table3[[#This Row],[Date]],"YYYY-MM")</f>
        <v>2025-05</v>
      </c>
      <c r="O258" s="2">
        <f>O257+Table3[[#This Row],[Volume]]</f>
        <v>77349415</v>
      </c>
    </row>
    <row r="259" spans="1:15" x14ac:dyDescent="0.35">
      <c r="A259" s="3" t="s">
        <v>50</v>
      </c>
      <c r="B259" s="2" t="s">
        <v>70</v>
      </c>
      <c r="C259" s="2">
        <v>1959.26</v>
      </c>
      <c r="D259" s="2">
        <v>1970.58</v>
      </c>
      <c r="E259" s="2">
        <v>1940.87</v>
      </c>
      <c r="F259" s="2">
        <v>1949.47</v>
      </c>
      <c r="G259" s="2">
        <v>1950.74</v>
      </c>
      <c r="H259" s="2">
        <v>292201</v>
      </c>
      <c r="I259" s="2">
        <f t="shared" si="20"/>
        <v>-4.9967845002704915E-3</v>
      </c>
      <c r="J259" s="2">
        <f t="shared" si="21"/>
        <v>1957.24125</v>
      </c>
      <c r="K259" s="2">
        <f t="shared" si="22"/>
        <v>1954.4379999999999</v>
      </c>
      <c r="L259" s="2">
        <f t="shared" si="23"/>
        <v>1955.9025806451616</v>
      </c>
      <c r="M259" s="4">
        <f t="shared" si="24"/>
        <v>1.5163888406847502E-2</v>
      </c>
      <c r="N259" s="2" t="str">
        <f>TEXT(Table3[[#This Row],[Date]],"YYYY-MM")</f>
        <v>2025-05</v>
      </c>
      <c r="O259" s="2">
        <f>O258+Table3[[#This Row],[Volume]]</f>
        <v>77641616</v>
      </c>
    </row>
    <row r="260" spans="1:15" x14ac:dyDescent="0.35">
      <c r="A260" s="3" t="s">
        <v>49</v>
      </c>
      <c r="B260" s="2" t="s">
        <v>70</v>
      </c>
      <c r="C260" s="2">
        <v>1972.46</v>
      </c>
      <c r="D260" s="2">
        <v>1980.53</v>
      </c>
      <c r="E260" s="2">
        <v>1963.06</v>
      </c>
      <c r="F260" s="2">
        <v>1966.76</v>
      </c>
      <c r="G260" s="2">
        <v>1968.35</v>
      </c>
      <c r="H260" s="2">
        <v>378823</v>
      </c>
      <c r="I260" s="2">
        <f t="shared" si="20"/>
        <v>-2.8897924419253344E-3</v>
      </c>
      <c r="J260" s="2">
        <f t="shared" si="21"/>
        <v>1956.4637499999999</v>
      </c>
      <c r="K260" s="2">
        <f t="shared" si="22"/>
        <v>1956.7839999999999</v>
      </c>
      <c r="L260" s="2">
        <f t="shared" si="23"/>
        <v>1955.957096774194</v>
      </c>
      <c r="M260" s="4">
        <f t="shared" si="24"/>
        <v>8.8569603439360121E-3</v>
      </c>
      <c r="N260" s="2" t="str">
        <f>TEXT(Table3[[#This Row],[Date]],"YYYY-MM")</f>
        <v>2025-05</v>
      </c>
      <c r="O260" s="2">
        <f>O259+Table3[[#This Row],[Volume]]</f>
        <v>78020439</v>
      </c>
    </row>
    <row r="261" spans="1:15" x14ac:dyDescent="0.35">
      <c r="A261" s="3" t="s">
        <v>48</v>
      </c>
      <c r="B261" s="2" t="s">
        <v>70</v>
      </c>
      <c r="C261" s="2">
        <v>1953.6</v>
      </c>
      <c r="D261" s="2">
        <v>1969.43</v>
      </c>
      <c r="E261" s="2">
        <v>1935.76</v>
      </c>
      <c r="F261" s="2">
        <v>1950.72</v>
      </c>
      <c r="G261" s="2">
        <v>1952.04</v>
      </c>
      <c r="H261" s="2">
        <v>114141</v>
      </c>
      <c r="I261" s="2">
        <f t="shared" si="20"/>
        <v>-1.4742014742014137E-3</v>
      </c>
      <c r="J261" s="2">
        <f t="shared" si="21"/>
        <v>1954.8712500000001</v>
      </c>
      <c r="K261" s="2">
        <f t="shared" si="22"/>
        <v>1955.232</v>
      </c>
      <c r="L261" s="2">
        <f t="shared" si="23"/>
        <v>1955.7796774193553</v>
      </c>
      <c r="M261" s="4">
        <f t="shared" si="24"/>
        <v>1.7234848484848523E-2</v>
      </c>
      <c r="N261" s="2" t="str">
        <f>TEXT(Table3[[#This Row],[Date]],"YYYY-MM")</f>
        <v>2025-05</v>
      </c>
      <c r="O261" s="2">
        <f>O260+Table3[[#This Row],[Volume]]</f>
        <v>78134580</v>
      </c>
    </row>
    <row r="262" spans="1:15" x14ac:dyDescent="0.35">
      <c r="A262" s="3" t="s">
        <v>47</v>
      </c>
      <c r="B262" s="2" t="s">
        <v>70</v>
      </c>
      <c r="C262" s="2">
        <v>1956.99</v>
      </c>
      <c r="D262" s="2">
        <v>1964.67</v>
      </c>
      <c r="E262" s="2">
        <v>1942.2</v>
      </c>
      <c r="F262" s="2">
        <v>1952.78</v>
      </c>
      <c r="G262" s="2">
        <v>1951.73</v>
      </c>
      <c r="H262" s="2">
        <v>491185</v>
      </c>
      <c r="I262" s="2">
        <f t="shared" si="20"/>
        <v>-2.1512629088549437E-3</v>
      </c>
      <c r="J262" s="2">
        <f t="shared" si="21"/>
        <v>1953.4850000000001</v>
      </c>
      <c r="K262" s="2">
        <f t="shared" si="22"/>
        <v>1955.2453333333333</v>
      </c>
      <c r="L262" s="2">
        <f t="shared" si="23"/>
        <v>1956.0354838709682</v>
      </c>
      <c r="M262" s="4">
        <f t="shared" si="24"/>
        <v>1.148191866080053E-2</v>
      </c>
      <c r="N262" s="2" t="str">
        <f>TEXT(Table3[[#This Row],[Date]],"YYYY-MM")</f>
        <v>2025-05</v>
      </c>
      <c r="O262" s="2">
        <f>O261+Table3[[#This Row],[Volume]]</f>
        <v>78625765</v>
      </c>
    </row>
    <row r="263" spans="1:15" x14ac:dyDescent="0.35">
      <c r="A263" s="3" t="s">
        <v>46</v>
      </c>
      <c r="B263" s="2" t="s">
        <v>70</v>
      </c>
      <c r="C263" s="2">
        <v>1965.36</v>
      </c>
      <c r="D263" s="2">
        <v>1970.77</v>
      </c>
      <c r="E263" s="2">
        <v>1957.03</v>
      </c>
      <c r="F263" s="2">
        <v>1970.26</v>
      </c>
      <c r="G263" s="2">
        <v>1969.18</v>
      </c>
      <c r="H263" s="2">
        <v>203967</v>
      </c>
      <c r="I263" s="2">
        <f t="shared" si="20"/>
        <v>2.4931819106932527E-3</v>
      </c>
      <c r="J263" s="2">
        <f t="shared" si="21"/>
        <v>1954.8775000000001</v>
      </c>
      <c r="K263" s="2">
        <f t="shared" si="22"/>
        <v>1956.2233333333336</v>
      </c>
      <c r="L263" s="2">
        <f t="shared" si="23"/>
        <v>1955.14935483871</v>
      </c>
      <c r="M263" s="4">
        <f t="shared" si="24"/>
        <v>6.9910856026376899E-3</v>
      </c>
      <c r="N263" s="2" t="str">
        <f>TEXT(Table3[[#This Row],[Date]],"YYYY-MM")</f>
        <v>2025-04</v>
      </c>
      <c r="O263" s="2">
        <f>O262+Table3[[#This Row],[Volume]]</f>
        <v>78829732</v>
      </c>
    </row>
    <row r="264" spans="1:15" x14ac:dyDescent="0.35">
      <c r="A264" s="3" t="s">
        <v>45</v>
      </c>
      <c r="B264" s="2" t="s">
        <v>70</v>
      </c>
      <c r="C264" s="2">
        <v>1964.33</v>
      </c>
      <c r="D264" s="2">
        <v>1975.46</v>
      </c>
      <c r="E264" s="2">
        <v>1958.95</v>
      </c>
      <c r="F264" s="2">
        <v>1960.57</v>
      </c>
      <c r="G264" s="2">
        <v>1959.19</v>
      </c>
      <c r="H264" s="2">
        <v>295757</v>
      </c>
      <c r="I264" s="2">
        <f t="shared" si="20"/>
        <v>-1.9141386630555921E-3</v>
      </c>
      <c r="J264" s="2">
        <f t="shared" si="21"/>
        <v>1953.0350000000001</v>
      </c>
      <c r="K264" s="2">
        <f t="shared" si="22"/>
        <v>1955.2120000000002</v>
      </c>
      <c r="L264" s="2">
        <f t="shared" si="23"/>
        <v>1954.6458064516132</v>
      </c>
      <c r="M264" s="4">
        <f t="shared" si="24"/>
        <v>8.4049014167680534E-3</v>
      </c>
      <c r="N264" s="2" t="str">
        <f>TEXT(Table3[[#This Row],[Date]],"YYYY-MM")</f>
        <v>2025-04</v>
      </c>
      <c r="O264" s="2">
        <f>O263+Table3[[#This Row],[Volume]]</f>
        <v>79125489</v>
      </c>
    </row>
    <row r="265" spans="1:15" x14ac:dyDescent="0.35">
      <c r="A265" s="3" t="s">
        <v>44</v>
      </c>
      <c r="B265" s="2" t="s">
        <v>70</v>
      </c>
      <c r="C265" s="2">
        <v>1952.57</v>
      </c>
      <c r="D265" s="2">
        <v>1970.5</v>
      </c>
      <c r="E265" s="2">
        <v>1933.38</v>
      </c>
      <c r="F265" s="2">
        <v>1950.08</v>
      </c>
      <c r="G265" s="2">
        <v>1949.57</v>
      </c>
      <c r="H265" s="2">
        <v>207525</v>
      </c>
      <c r="I265" s="2">
        <f t="shared" si="20"/>
        <v>-1.2752423728726802E-3</v>
      </c>
      <c r="J265" s="2">
        <f t="shared" si="21"/>
        <v>1953.9012499999999</v>
      </c>
      <c r="K265" s="2">
        <f t="shared" si="22"/>
        <v>1955.2020000000002</v>
      </c>
      <c r="L265" s="2">
        <f t="shared" si="23"/>
        <v>1954.3325806451617</v>
      </c>
      <c r="M265" s="4">
        <f t="shared" si="24"/>
        <v>1.9010842120897018E-2</v>
      </c>
      <c r="N265" s="2" t="str">
        <f>TEXT(Table3[[#This Row],[Date]],"YYYY-MM")</f>
        <v>2025-04</v>
      </c>
      <c r="O265" s="2">
        <f>O264+Table3[[#This Row],[Volume]]</f>
        <v>79333014</v>
      </c>
    </row>
    <row r="266" spans="1:15" x14ac:dyDescent="0.35">
      <c r="A266" s="3" t="s">
        <v>43</v>
      </c>
      <c r="B266" s="2" t="s">
        <v>70</v>
      </c>
      <c r="C266" s="2">
        <v>1969.89</v>
      </c>
      <c r="D266" s="2">
        <v>1981.5</v>
      </c>
      <c r="E266" s="2">
        <v>1958.88</v>
      </c>
      <c r="F266" s="2">
        <v>1956.89</v>
      </c>
      <c r="G266" s="2">
        <v>1957.13</v>
      </c>
      <c r="H266" s="2">
        <v>270193</v>
      </c>
      <c r="I266" s="2">
        <f t="shared" si="20"/>
        <v>-6.5993532633801888E-3</v>
      </c>
      <c r="J266" s="2">
        <f t="shared" si="21"/>
        <v>1951.9712500000001</v>
      </c>
      <c r="K266" s="2">
        <f t="shared" si="22"/>
        <v>1954.8906666666669</v>
      </c>
      <c r="L266" s="2">
        <f t="shared" si="23"/>
        <v>1954.2777419354843</v>
      </c>
      <c r="M266" s="4">
        <f t="shared" si="24"/>
        <v>1.1482874678281473E-2</v>
      </c>
      <c r="N266" s="2" t="str">
        <f>TEXT(Table3[[#This Row],[Date]],"YYYY-MM")</f>
        <v>2025-04</v>
      </c>
      <c r="O266" s="2">
        <f>O265+Table3[[#This Row],[Volume]]</f>
        <v>79603207</v>
      </c>
    </row>
    <row r="267" spans="1:15" x14ac:dyDescent="0.35">
      <c r="A267" s="3" t="s">
        <v>42</v>
      </c>
      <c r="B267" s="2" t="s">
        <v>70</v>
      </c>
      <c r="C267" s="2">
        <v>1950.26</v>
      </c>
      <c r="D267" s="2">
        <v>1955.81</v>
      </c>
      <c r="E267" s="2">
        <v>1938.18</v>
      </c>
      <c r="F267" s="2">
        <v>1944.26</v>
      </c>
      <c r="G267" s="2">
        <v>1944.52</v>
      </c>
      <c r="H267" s="2">
        <v>267852</v>
      </c>
      <c r="I267" s="2">
        <f t="shared" si="20"/>
        <v>-3.0765128752063826E-3</v>
      </c>
      <c r="J267" s="2">
        <f t="shared" si="21"/>
        <v>1955.57125</v>
      </c>
      <c r="K267" s="2">
        <f t="shared" si="22"/>
        <v>1955.8566666666668</v>
      </c>
      <c r="L267" s="2">
        <f t="shared" si="23"/>
        <v>1953.7183870967744</v>
      </c>
      <c r="M267" s="4">
        <f t="shared" si="24"/>
        <v>9.0398203316480272E-3</v>
      </c>
      <c r="N267" s="2" t="str">
        <f>TEXT(Table3[[#This Row],[Date]],"YYYY-MM")</f>
        <v>2025-04</v>
      </c>
      <c r="O267" s="2">
        <f>O266+Table3[[#This Row],[Volume]]</f>
        <v>79871059</v>
      </c>
    </row>
    <row r="268" spans="1:15" x14ac:dyDescent="0.35">
      <c r="A268" s="3" t="s">
        <v>41</v>
      </c>
      <c r="B268" s="2" t="s">
        <v>70</v>
      </c>
      <c r="C268" s="2">
        <v>1949.22</v>
      </c>
      <c r="D268" s="2">
        <v>1965.47</v>
      </c>
      <c r="E268" s="2">
        <v>1941.07</v>
      </c>
      <c r="F268" s="2">
        <v>1954.02</v>
      </c>
      <c r="G268" s="2">
        <v>1955.61</v>
      </c>
      <c r="H268" s="2">
        <v>471346</v>
      </c>
      <c r="I268" s="2">
        <f t="shared" si="20"/>
        <v>2.4625234709268087E-3</v>
      </c>
      <c r="J268" s="2">
        <f t="shared" si="21"/>
        <v>1955.6400000000003</v>
      </c>
      <c r="K268" s="2">
        <f t="shared" si="22"/>
        <v>1957.3513333333335</v>
      </c>
      <c r="L268" s="2">
        <f t="shared" si="23"/>
        <v>1954.8503225806458</v>
      </c>
      <c r="M268" s="4">
        <f t="shared" si="24"/>
        <v>1.2517827643878111E-2</v>
      </c>
      <c r="N268" s="2" t="str">
        <f>TEXT(Table3[[#This Row],[Date]],"YYYY-MM")</f>
        <v>2025-04</v>
      </c>
      <c r="O268" s="2">
        <f>O267+Table3[[#This Row],[Volume]]</f>
        <v>80342405</v>
      </c>
    </row>
    <row r="269" spans="1:15" x14ac:dyDescent="0.35">
      <c r="A269" s="3" t="s">
        <v>40</v>
      </c>
      <c r="B269" s="2" t="s">
        <v>70</v>
      </c>
      <c r="C269" s="2">
        <v>1953.31</v>
      </c>
      <c r="D269" s="2">
        <v>1959.59</v>
      </c>
      <c r="E269" s="2">
        <v>1933.36</v>
      </c>
      <c r="F269" s="2">
        <v>1940.94</v>
      </c>
      <c r="G269" s="2">
        <v>1940.95</v>
      </c>
      <c r="H269" s="2">
        <v>380405</v>
      </c>
      <c r="I269" s="2">
        <f t="shared" si="20"/>
        <v>-6.3328401533806157E-3</v>
      </c>
      <c r="J269" s="2">
        <f t="shared" si="21"/>
        <v>1955.21875</v>
      </c>
      <c r="K269" s="2">
        <f t="shared" si="22"/>
        <v>1957.1673333333333</v>
      </c>
      <c r="L269" s="2">
        <f t="shared" si="23"/>
        <v>1954.7335483870972</v>
      </c>
      <c r="M269" s="4">
        <f t="shared" si="24"/>
        <v>1.3428488053611572E-2</v>
      </c>
      <c r="N269" s="2" t="str">
        <f>TEXT(Table3[[#This Row],[Date]],"YYYY-MM")</f>
        <v>2025-04</v>
      </c>
      <c r="O269" s="2">
        <f>O268+Table3[[#This Row],[Volume]]</f>
        <v>80722810</v>
      </c>
    </row>
    <row r="270" spans="1:15" x14ac:dyDescent="0.35">
      <c r="A270" s="3" t="s">
        <v>39</v>
      </c>
      <c r="B270" s="2" t="s">
        <v>70</v>
      </c>
      <c r="C270" s="2">
        <v>1966.8</v>
      </c>
      <c r="D270" s="2">
        <v>1981.28</v>
      </c>
      <c r="E270" s="2">
        <v>1961.6</v>
      </c>
      <c r="F270" s="2">
        <v>1962.22</v>
      </c>
      <c r="G270" s="2">
        <v>1962.87</v>
      </c>
      <c r="H270" s="2">
        <v>306440</v>
      </c>
      <c r="I270" s="2">
        <f t="shared" si="20"/>
        <v>-2.3286556843603455E-3</v>
      </c>
      <c r="J270" s="2">
        <f t="shared" si="21"/>
        <v>1958.3999999999999</v>
      </c>
      <c r="K270" s="2">
        <f t="shared" si="22"/>
        <v>1958.0773333333332</v>
      </c>
      <c r="L270" s="2">
        <f t="shared" si="23"/>
        <v>1954.7193548387099</v>
      </c>
      <c r="M270" s="4">
        <f t="shared" si="24"/>
        <v>1.00061012812691E-2</v>
      </c>
      <c r="N270" s="2" t="str">
        <f>TEXT(Table3[[#This Row],[Date]],"YYYY-MM")</f>
        <v>2025-04</v>
      </c>
      <c r="O270" s="2">
        <f>O269+Table3[[#This Row],[Volume]]</f>
        <v>81029250</v>
      </c>
    </row>
    <row r="271" spans="1:15" x14ac:dyDescent="0.35">
      <c r="A271" s="3" t="s">
        <v>38</v>
      </c>
      <c r="B271" s="2" t="s">
        <v>70</v>
      </c>
      <c r="C271" s="2">
        <v>1953.54</v>
      </c>
      <c r="D271" s="2">
        <v>1966.02</v>
      </c>
      <c r="E271" s="2">
        <v>1942.26</v>
      </c>
      <c r="F271" s="2">
        <v>1952.78</v>
      </c>
      <c r="G271" s="2">
        <v>1954.44</v>
      </c>
      <c r="H271" s="2">
        <v>209822</v>
      </c>
      <c r="I271" s="2">
        <f t="shared" si="20"/>
        <v>-3.8903733734655597E-4</v>
      </c>
      <c r="J271" s="2">
        <f t="shared" si="21"/>
        <v>1957.2925</v>
      </c>
      <c r="K271" s="2">
        <f t="shared" si="22"/>
        <v>1957.8546666666664</v>
      </c>
      <c r="L271" s="2">
        <f t="shared" si="23"/>
        <v>1954.1429032258068</v>
      </c>
      <c r="M271" s="4">
        <f t="shared" si="24"/>
        <v>1.2162535704413521E-2</v>
      </c>
      <c r="N271" s="2" t="str">
        <f>TEXT(Table3[[#This Row],[Date]],"YYYY-MM")</f>
        <v>2025-04</v>
      </c>
      <c r="O271" s="2">
        <f>O270+Table3[[#This Row],[Volume]]</f>
        <v>81239072</v>
      </c>
    </row>
    <row r="272" spans="1:15" x14ac:dyDescent="0.35">
      <c r="A272" s="3" t="s">
        <v>37</v>
      </c>
      <c r="B272" s="2" t="s">
        <v>70</v>
      </c>
      <c r="C272" s="2">
        <v>1968.7</v>
      </c>
      <c r="D272" s="2">
        <v>1980.48</v>
      </c>
      <c r="E272" s="2">
        <v>1960.33</v>
      </c>
      <c r="F272" s="2">
        <v>1966.31</v>
      </c>
      <c r="G272" s="2">
        <v>1966.12</v>
      </c>
      <c r="H272" s="2">
        <v>192930</v>
      </c>
      <c r="I272" s="2">
        <f t="shared" si="20"/>
        <v>-1.213999085691116E-3</v>
      </c>
      <c r="J272" s="2">
        <f t="shared" si="21"/>
        <v>1957.8674999999998</v>
      </c>
      <c r="K272" s="2">
        <f t="shared" si="22"/>
        <v>1957.5759999999996</v>
      </c>
      <c r="L272" s="2">
        <f t="shared" si="23"/>
        <v>1954.1330000000003</v>
      </c>
      <c r="M272" s="4">
        <f t="shared" si="24"/>
        <v>1.0235180576014675E-2</v>
      </c>
      <c r="N272" s="2" t="str">
        <f>TEXT(Table3[[#This Row],[Date]],"YYYY-MM")</f>
        <v>2025-04</v>
      </c>
      <c r="O272" s="2">
        <f>O271+Table3[[#This Row],[Volume]]</f>
        <v>81432002</v>
      </c>
    </row>
    <row r="273" spans="1:15" x14ac:dyDescent="0.35">
      <c r="A273" s="3" t="s">
        <v>36</v>
      </c>
      <c r="B273" s="2" t="s">
        <v>70</v>
      </c>
      <c r="C273" s="2">
        <v>1945.88</v>
      </c>
      <c r="D273" s="2">
        <v>1958.94</v>
      </c>
      <c r="E273" s="2">
        <v>1927.08</v>
      </c>
      <c r="F273" s="2">
        <v>1934.74</v>
      </c>
      <c r="G273" s="2">
        <v>1934.13</v>
      </c>
      <c r="H273" s="2">
        <v>475984</v>
      </c>
      <c r="I273" s="2">
        <f t="shared" si="20"/>
        <v>-5.7249162332724006E-3</v>
      </c>
      <c r="J273" s="2">
        <f t="shared" si="21"/>
        <v>1955.2149999999999</v>
      </c>
      <c r="K273" s="2">
        <f t="shared" si="22"/>
        <v>1957.075333333333</v>
      </c>
      <c r="L273" s="2">
        <f t="shared" si="23"/>
        <v>1953.7196551724139</v>
      </c>
      <c r="M273" s="4">
        <f t="shared" si="24"/>
        <v>1.6373054864637145E-2</v>
      </c>
      <c r="N273" s="2" t="str">
        <f>TEXT(Table3[[#This Row],[Date]],"YYYY-MM")</f>
        <v>2025-04</v>
      </c>
      <c r="O273" s="2">
        <f>O272+Table3[[#This Row],[Volume]]</f>
        <v>81907986</v>
      </c>
    </row>
    <row r="274" spans="1:15" x14ac:dyDescent="0.35">
      <c r="A274" s="3" t="s">
        <v>35</v>
      </c>
      <c r="B274" s="2" t="s">
        <v>70</v>
      </c>
      <c r="C274" s="2">
        <v>1981.39</v>
      </c>
      <c r="D274" s="2">
        <v>1992.38</v>
      </c>
      <c r="E274" s="2">
        <v>1975.57</v>
      </c>
      <c r="F274" s="2">
        <v>1986.59</v>
      </c>
      <c r="G274" s="2">
        <v>1985.93</v>
      </c>
      <c r="H274" s="2">
        <v>316764</v>
      </c>
      <c r="I274" s="2">
        <f t="shared" si="20"/>
        <v>2.6244202302423136E-3</v>
      </c>
      <c r="J274" s="2">
        <f t="shared" si="21"/>
        <v>1959.9012499999999</v>
      </c>
      <c r="K274" s="2">
        <f t="shared" si="22"/>
        <v>1957.1166666666661</v>
      </c>
      <c r="L274" s="2">
        <f t="shared" si="23"/>
        <v>1954.4192857142857</v>
      </c>
      <c r="M274" s="4">
        <f t="shared" si="24"/>
        <v>8.4839430904567869E-3</v>
      </c>
      <c r="N274" s="2" t="str">
        <f>TEXT(Table3[[#This Row],[Date]],"YYYY-MM")</f>
        <v>2025-04</v>
      </c>
      <c r="O274" s="2">
        <f>O273+Table3[[#This Row],[Volume]]</f>
        <v>82224750</v>
      </c>
    </row>
    <row r="275" spans="1:15" x14ac:dyDescent="0.35">
      <c r="A275" s="3" t="s">
        <v>34</v>
      </c>
      <c r="B275" s="2" t="s">
        <v>70</v>
      </c>
      <c r="C275" s="2">
        <v>1946.1</v>
      </c>
      <c r="D275" s="2">
        <v>1965.87</v>
      </c>
      <c r="E275" s="2">
        <v>1928.52</v>
      </c>
      <c r="F275" s="2">
        <v>1946.57</v>
      </c>
      <c r="G275" s="2">
        <v>1945.07</v>
      </c>
      <c r="H275" s="2">
        <v>455549</v>
      </c>
      <c r="I275" s="2">
        <f t="shared" si="20"/>
        <v>2.4150865834233971E-4</v>
      </c>
      <c r="J275" s="2">
        <f t="shared" si="21"/>
        <v>1957.5274999999999</v>
      </c>
      <c r="K275" s="2">
        <f t="shared" si="22"/>
        <v>1955.365333333333</v>
      </c>
      <c r="L275" s="2">
        <f t="shared" si="23"/>
        <v>1953.2522222222224</v>
      </c>
      <c r="M275" s="4">
        <f t="shared" si="24"/>
        <v>1.9192230615076262E-2</v>
      </c>
      <c r="N275" s="2" t="str">
        <f>TEXT(Table3[[#This Row],[Date]],"YYYY-MM")</f>
        <v>2025-04</v>
      </c>
      <c r="O275" s="2">
        <f>O274+Table3[[#This Row],[Volume]]</f>
        <v>82680299</v>
      </c>
    </row>
    <row r="276" spans="1:15" x14ac:dyDescent="0.35">
      <c r="A276" s="3" t="s">
        <v>33</v>
      </c>
      <c r="B276" s="2" t="s">
        <v>70</v>
      </c>
      <c r="C276" s="2">
        <v>1942.59</v>
      </c>
      <c r="D276" s="2">
        <v>1958.64</v>
      </c>
      <c r="E276" s="2">
        <v>1923.57</v>
      </c>
      <c r="F276" s="2">
        <v>1950.54</v>
      </c>
      <c r="G276" s="2">
        <v>1952.24</v>
      </c>
      <c r="H276" s="2">
        <v>482161</v>
      </c>
      <c r="I276" s="2">
        <f t="shared" si="20"/>
        <v>4.0924744799468987E-3</v>
      </c>
      <c r="J276" s="2">
        <f t="shared" si="21"/>
        <v>1958.5</v>
      </c>
      <c r="K276" s="2">
        <f t="shared" si="22"/>
        <v>1955.8559999999998</v>
      </c>
      <c r="L276" s="2">
        <f t="shared" si="23"/>
        <v>1953.5669230769233</v>
      </c>
      <c r="M276" s="4">
        <f t="shared" si="24"/>
        <v>1.8053217611539319E-2</v>
      </c>
      <c r="N276" s="2" t="str">
        <f>TEXT(Table3[[#This Row],[Date]],"YYYY-MM")</f>
        <v>2025-04</v>
      </c>
      <c r="O276" s="2">
        <f>O275+Table3[[#This Row],[Volume]]</f>
        <v>83162460</v>
      </c>
    </row>
    <row r="277" spans="1:15" x14ac:dyDescent="0.35">
      <c r="A277" s="3" t="s">
        <v>32</v>
      </c>
      <c r="B277" s="2" t="s">
        <v>70</v>
      </c>
      <c r="C277" s="2">
        <v>1960.81</v>
      </c>
      <c r="D277" s="2">
        <v>1976.42</v>
      </c>
      <c r="E277" s="2">
        <v>1953.52</v>
      </c>
      <c r="F277" s="2">
        <v>1966.09</v>
      </c>
      <c r="G277" s="2">
        <v>1966.4</v>
      </c>
      <c r="H277" s="2">
        <v>431887</v>
      </c>
      <c r="I277" s="2">
        <f t="shared" si="20"/>
        <v>2.6927647247820914E-3</v>
      </c>
      <c r="J277" s="2">
        <f t="shared" si="21"/>
        <v>1958.7950000000003</v>
      </c>
      <c r="K277" s="2">
        <f t="shared" si="22"/>
        <v>1956.5633333333333</v>
      </c>
      <c r="L277" s="2">
        <f t="shared" si="23"/>
        <v>1953.6200000000003</v>
      </c>
      <c r="M277" s="4">
        <f t="shared" si="24"/>
        <v>1.1678847007104254E-2</v>
      </c>
      <c r="N277" s="2" t="str">
        <f>TEXT(Table3[[#This Row],[Date]],"YYYY-MM")</f>
        <v>2025-04</v>
      </c>
      <c r="O277" s="2">
        <f>O276+Table3[[#This Row],[Volume]]</f>
        <v>83594347</v>
      </c>
    </row>
    <row r="278" spans="1:15" x14ac:dyDescent="0.35">
      <c r="A278" s="3" t="s">
        <v>31</v>
      </c>
      <c r="B278" s="2" t="s">
        <v>70</v>
      </c>
      <c r="C278" s="2">
        <v>1953.97</v>
      </c>
      <c r="D278" s="2">
        <v>1972.05</v>
      </c>
      <c r="E278" s="2">
        <v>1934.99</v>
      </c>
      <c r="F278" s="2">
        <v>1953.75</v>
      </c>
      <c r="G278" s="2">
        <v>1954.01</v>
      </c>
      <c r="H278" s="2">
        <v>342446</v>
      </c>
      <c r="I278" s="2">
        <f t="shared" si="20"/>
        <v>-1.1259128850495519E-4</v>
      </c>
      <c r="J278" s="2">
        <f t="shared" si="21"/>
        <v>1957.9362500000002</v>
      </c>
      <c r="K278" s="2">
        <f t="shared" si="22"/>
        <v>1956.1346666666666</v>
      </c>
      <c r="L278" s="2">
        <f t="shared" si="23"/>
        <v>1953.0875000000003</v>
      </c>
      <c r="M278" s="4">
        <f t="shared" si="24"/>
        <v>1.8966514327241436E-2</v>
      </c>
      <c r="N278" s="2" t="str">
        <f>TEXT(Table3[[#This Row],[Date]],"YYYY-MM")</f>
        <v>2025-04</v>
      </c>
      <c r="O278" s="2">
        <f>O277+Table3[[#This Row],[Volume]]</f>
        <v>83936793</v>
      </c>
    </row>
    <row r="279" spans="1:15" x14ac:dyDescent="0.35">
      <c r="A279" s="3" t="s">
        <v>30</v>
      </c>
      <c r="B279" s="2" t="s">
        <v>70</v>
      </c>
      <c r="C279" s="2">
        <v>1962.54</v>
      </c>
      <c r="D279" s="2">
        <v>1969.84</v>
      </c>
      <c r="E279" s="2">
        <v>1948.75</v>
      </c>
      <c r="F279" s="2">
        <v>1959.02</v>
      </c>
      <c r="G279" s="2">
        <v>1959.04</v>
      </c>
      <c r="H279" s="2">
        <v>463926</v>
      </c>
      <c r="I279" s="2">
        <f t="shared" si="20"/>
        <v>-1.7935940159181376E-3</v>
      </c>
      <c r="J279" s="2">
        <f t="shared" si="21"/>
        <v>1957.4675000000002</v>
      </c>
      <c r="K279" s="2">
        <f t="shared" si="22"/>
        <v>1954.1513333333335</v>
      </c>
      <c r="L279" s="2">
        <f t="shared" si="23"/>
        <v>1953.0473913043479</v>
      </c>
      <c r="M279" s="4">
        <f t="shared" si="24"/>
        <v>1.0746277782873175E-2</v>
      </c>
      <c r="N279" s="2" t="str">
        <f>TEXT(Table3[[#This Row],[Date]],"YYYY-MM")</f>
        <v>2025-04</v>
      </c>
      <c r="O279" s="2">
        <f>O278+Table3[[#This Row],[Volume]]</f>
        <v>84400719</v>
      </c>
    </row>
    <row r="280" spans="1:15" x14ac:dyDescent="0.35">
      <c r="A280" s="3" t="s">
        <v>29</v>
      </c>
      <c r="B280" s="2" t="s">
        <v>70</v>
      </c>
      <c r="C280" s="2">
        <v>1945.42</v>
      </c>
      <c r="D280" s="2">
        <v>1964.05</v>
      </c>
      <c r="E280" s="2">
        <v>1931.67</v>
      </c>
      <c r="F280" s="2">
        <v>1945.3</v>
      </c>
      <c r="G280" s="2">
        <v>1944.9</v>
      </c>
      <c r="H280" s="2">
        <v>440559</v>
      </c>
      <c r="I280" s="2">
        <f t="shared" si="20"/>
        <v>-6.1683338302329698E-5</v>
      </c>
      <c r="J280" s="2">
        <f t="shared" si="21"/>
        <v>1957.4137500000002</v>
      </c>
      <c r="K280" s="2">
        <f t="shared" si="22"/>
        <v>1953.7866666666666</v>
      </c>
      <c r="L280" s="2">
        <f t="shared" si="23"/>
        <v>1952.7750000000001</v>
      </c>
      <c r="M280" s="4">
        <f t="shared" si="24"/>
        <v>1.6644220785228835E-2</v>
      </c>
      <c r="N280" s="2" t="str">
        <f>TEXT(Table3[[#This Row],[Date]],"YYYY-MM")</f>
        <v>2025-04</v>
      </c>
      <c r="O280" s="2">
        <f>O279+Table3[[#This Row],[Volume]]</f>
        <v>84841278</v>
      </c>
    </row>
    <row r="281" spans="1:15" x14ac:dyDescent="0.35">
      <c r="A281" s="3" t="s">
        <v>28</v>
      </c>
      <c r="B281" s="2" t="s">
        <v>70</v>
      </c>
      <c r="C281" s="2">
        <v>1964.7</v>
      </c>
      <c r="D281" s="2">
        <v>1980.11</v>
      </c>
      <c r="E281" s="2">
        <v>1951.56</v>
      </c>
      <c r="F281" s="2">
        <v>1972.61</v>
      </c>
      <c r="G281" s="2">
        <v>1971.62</v>
      </c>
      <c r="H281" s="2">
        <v>168344</v>
      </c>
      <c r="I281" s="2">
        <f t="shared" si="20"/>
        <v>4.0260599582632737E-3</v>
      </c>
      <c r="J281" s="2">
        <f t="shared" si="21"/>
        <v>1956.1450000000002</v>
      </c>
      <c r="K281" s="2">
        <f t="shared" si="22"/>
        <v>1954.0920000000001</v>
      </c>
      <c r="L281" s="2">
        <f t="shared" si="23"/>
        <v>1953.15</v>
      </c>
      <c r="M281" s="4">
        <f t="shared" si="24"/>
        <v>1.4531480633175525E-2</v>
      </c>
      <c r="N281" s="2" t="str">
        <f>TEXT(Table3[[#This Row],[Date]],"YYYY-MM")</f>
        <v>2025-04</v>
      </c>
      <c r="O281" s="2">
        <f>O280+Table3[[#This Row],[Volume]]</f>
        <v>85009622</v>
      </c>
    </row>
    <row r="282" spans="1:15" x14ac:dyDescent="0.35">
      <c r="A282" s="3" t="s">
        <v>27</v>
      </c>
      <c r="B282" s="2" t="s">
        <v>70</v>
      </c>
      <c r="C282" s="2">
        <v>1968.87</v>
      </c>
      <c r="D282" s="2">
        <v>1976.12</v>
      </c>
      <c r="E282" s="2">
        <v>1960.43</v>
      </c>
      <c r="F282" s="2">
        <v>1966.05</v>
      </c>
      <c r="G282" s="2">
        <v>1966.94</v>
      </c>
      <c r="H282" s="2">
        <v>145648</v>
      </c>
      <c r="I282" s="2">
        <f t="shared" si="20"/>
        <v>-1.4322936506726885E-3</v>
      </c>
      <c r="J282" s="2">
        <f t="shared" si="21"/>
        <v>1954.6499999999999</v>
      </c>
      <c r="K282" s="2">
        <f t="shared" si="22"/>
        <v>1952.5086666666662</v>
      </c>
      <c r="L282" s="2">
        <f t="shared" si="23"/>
        <v>1952.2264999999995</v>
      </c>
      <c r="M282" s="4">
        <f t="shared" si="24"/>
        <v>7.9690380776789877E-3</v>
      </c>
      <c r="N282" s="2" t="str">
        <f>TEXT(Table3[[#This Row],[Date]],"YYYY-MM")</f>
        <v>2025-04</v>
      </c>
      <c r="O282" s="2">
        <f>O281+Table3[[#This Row],[Volume]]</f>
        <v>85155270</v>
      </c>
    </row>
    <row r="283" spans="1:15" x14ac:dyDescent="0.35">
      <c r="A283" s="3" t="s">
        <v>26</v>
      </c>
      <c r="B283" s="2" t="s">
        <v>70</v>
      </c>
      <c r="C283" s="2">
        <v>1956.72</v>
      </c>
      <c r="D283" s="2">
        <v>1973.16</v>
      </c>
      <c r="E283" s="2">
        <v>1938.57</v>
      </c>
      <c r="F283" s="2">
        <v>1953.48</v>
      </c>
      <c r="G283" s="2">
        <v>1952.85</v>
      </c>
      <c r="H283" s="2">
        <v>419529</v>
      </c>
      <c r="I283" s="2">
        <f t="shared" si="20"/>
        <v>-1.6558322090028258E-3</v>
      </c>
      <c r="J283" s="2">
        <f t="shared" si="21"/>
        <v>1952.8362500000001</v>
      </c>
      <c r="K283" s="2">
        <f t="shared" si="22"/>
        <v>1950.6986666666667</v>
      </c>
      <c r="L283" s="2">
        <f t="shared" si="23"/>
        <v>1951.452105263158</v>
      </c>
      <c r="M283" s="4">
        <f t="shared" si="24"/>
        <v>1.7677542009076487E-2</v>
      </c>
      <c r="N283" s="2" t="str">
        <f>TEXT(Table3[[#This Row],[Date]],"YYYY-MM")</f>
        <v>2025-04</v>
      </c>
      <c r="O283" s="2">
        <f>O282+Table3[[#This Row],[Volume]]</f>
        <v>85574799</v>
      </c>
    </row>
    <row r="284" spans="1:15" x14ac:dyDescent="0.35">
      <c r="A284" s="3" t="s">
        <v>25</v>
      </c>
      <c r="B284" s="2" t="s">
        <v>70</v>
      </c>
      <c r="C284" s="2">
        <v>1951.13</v>
      </c>
      <c r="D284" s="2">
        <v>1960.81</v>
      </c>
      <c r="E284" s="2">
        <v>1942.4</v>
      </c>
      <c r="F284" s="2">
        <v>1953.62</v>
      </c>
      <c r="G284" s="2">
        <v>1954.6</v>
      </c>
      <c r="H284" s="2">
        <v>251377</v>
      </c>
      <c r="I284" s="2">
        <f t="shared" si="20"/>
        <v>1.2761835449200112E-3</v>
      </c>
      <c r="J284" s="2">
        <f t="shared" si="21"/>
        <v>1954.0862500000001</v>
      </c>
      <c r="K284" s="2">
        <f t="shared" si="22"/>
        <v>1952.4826666666665</v>
      </c>
      <c r="L284" s="2">
        <f t="shared" si="23"/>
        <v>1951.3744444444444</v>
      </c>
      <c r="M284" s="4">
        <f t="shared" si="24"/>
        <v>9.4355578562165792E-3</v>
      </c>
      <c r="N284" s="2" t="str">
        <f>TEXT(Table3[[#This Row],[Date]],"YYYY-MM")</f>
        <v>2025-04</v>
      </c>
      <c r="O284" s="2">
        <f>O283+Table3[[#This Row],[Volume]]</f>
        <v>85826176</v>
      </c>
    </row>
    <row r="285" spans="1:15" x14ac:dyDescent="0.35">
      <c r="A285" s="3" t="s">
        <v>24</v>
      </c>
      <c r="B285" s="2" t="s">
        <v>70</v>
      </c>
      <c r="C285" s="2">
        <v>1959.38</v>
      </c>
      <c r="D285" s="2">
        <v>1973.68</v>
      </c>
      <c r="E285" s="2">
        <v>1946.38</v>
      </c>
      <c r="F285" s="2">
        <v>1957.95</v>
      </c>
      <c r="G285" s="2">
        <v>1959.53</v>
      </c>
      <c r="H285" s="2">
        <v>348890</v>
      </c>
      <c r="I285" s="2">
        <f t="shared" si="20"/>
        <v>-7.2982269901706849E-4</v>
      </c>
      <c r="J285" s="2">
        <f t="shared" si="21"/>
        <v>1954.7574999999999</v>
      </c>
      <c r="K285" s="2">
        <f t="shared" si="22"/>
        <v>1952.3086666666668</v>
      </c>
      <c r="L285" s="2">
        <f t="shared" si="23"/>
        <v>1951.184705882353</v>
      </c>
      <c r="M285" s="4">
        <f t="shared" si="24"/>
        <v>1.3932978799416117E-2</v>
      </c>
      <c r="N285" s="2" t="str">
        <f>TEXT(Table3[[#This Row],[Date]],"YYYY-MM")</f>
        <v>2025-03</v>
      </c>
      <c r="O285" s="2">
        <f>O284+Table3[[#This Row],[Volume]]</f>
        <v>86175066</v>
      </c>
    </row>
    <row r="286" spans="1:15" x14ac:dyDescent="0.35">
      <c r="A286" s="3" t="s">
        <v>23</v>
      </c>
      <c r="B286" s="2" t="s">
        <v>70</v>
      </c>
      <c r="C286" s="2">
        <v>1947.15</v>
      </c>
      <c r="D286" s="2">
        <v>1966.25</v>
      </c>
      <c r="E286" s="2">
        <v>1932.73</v>
      </c>
      <c r="F286" s="2">
        <v>1950.92</v>
      </c>
      <c r="G286" s="2">
        <v>1950.26</v>
      </c>
      <c r="H286" s="2">
        <v>468490</v>
      </c>
      <c r="I286" s="2">
        <f t="shared" si="20"/>
        <v>1.9361631101866737E-3</v>
      </c>
      <c r="J286" s="2">
        <f t="shared" si="21"/>
        <v>1950.3487499999999</v>
      </c>
      <c r="K286" s="2">
        <f t="shared" si="22"/>
        <v>1951.0406666666668</v>
      </c>
      <c r="L286" s="2">
        <f t="shared" si="23"/>
        <v>1950.663125</v>
      </c>
      <c r="M286" s="4">
        <f t="shared" si="24"/>
        <v>1.7214903833808377E-2</v>
      </c>
      <c r="N286" s="2" t="str">
        <f>TEXT(Table3[[#This Row],[Date]],"YYYY-MM")</f>
        <v>2025-03</v>
      </c>
      <c r="O286" s="2">
        <f>O285+Table3[[#This Row],[Volume]]</f>
        <v>86643556</v>
      </c>
    </row>
    <row r="287" spans="1:15" x14ac:dyDescent="0.35">
      <c r="A287" s="3" t="s">
        <v>22</v>
      </c>
      <c r="B287" s="2" t="s">
        <v>70</v>
      </c>
      <c r="C287" s="2">
        <v>1959.27</v>
      </c>
      <c r="D287" s="2">
        <v>1970.03</v>
      </c>
      <c r="E287" s="2">
        <v>1946.12</v>
      </c>
      <c r="F287" s="2">
        <v>1956.98</v>
      </c>
      <c r="G287" s="2">
        <v>1958.61</v>
      </c>
      <c r="H287" s="2">
        <v>172458</v>
      </c>
      <c r="I287" s="2">
        <f t="shared" si="20"/>
        <v>-1.1688026662991643E-3</v>
      </c>
      <c r="J287" s="2">
        <f t="shared" si="21"/>
        <v>1950.7624999999998</v>
      </c>
      <c r="K287" s="2">
        <f t="shared" si="22"/>
        <v>1950.6899999999998</v>
      </c>
      <c r="L287" s="2">
        <f t="shared" si="23"/>
        <v>1950.6899999999998</v>
      </c>
      <c r="M287" s="4">
        <f t="shared" si="24"/>
        <v>1.2203524782189328E-2</v>
      </c>
      <c r="N287" s="2" t="str">
        <f>TEXT(Table3[[#This Row],[Date]],"YYYY-MM")</f>
        <v>2025-03</v>
      </c>
      <c r="O287" s="2">
        <f>O286+Table3[[#This Row],[Volume]]</f>
        <v>86816014</v>
      </c>
    </row>
    <row r="288" spans="1:15" x14ac:dyDescent="0.35">
      <c r="A288" s="3" t="s">
        <v>21</v>
      </c>
      <c r="B288" s="2" t="s">
        <v>70</v>
      </c>
      <c r="C288" s="2">
        <v>1949.24</v>
      </c>
      <c r="D288" s="2">
        <v>1958.76</v>
      </c>
      <c r="E288" s="2">
        <v>1933.03</v>
      </c>
      <c r="F288" s="2">
        <v>1934.74</v>
      </c>
      <c r="G288" s="2">
        <v>1934.75</v>
      </c>
      <c r="H288" s="2">
        <v>307847</v>
      </c>
      <c r="I288" s="2">
        <f t="shared" si="20"/>
        <v>-7.4387966592107694E-3</v>
      </c>
      <c r="J288" s="2">
        <f t="shared" si="21"/>
        <v>1949.6212499999999</v>
      </c>
      <c r="K288" s="2">
        <f t="shared" si="22"/>
        <v>1950.1242857142859</v>
      </c>
      <c r="L288" s="2">
        <f t="shared" si="23"/>
        <v>1950.1242857142859</v>
      </c>
      <c r="M288" s="4">
        <f t="shared" si="24"/>
        <v>1.3200016416654706E-2</v>
      </c>
      <c r="N288" s="2" t="str">
        <f>TEXT(Table3[[#This Row],[Date]],"YYYY-MM")</f>
        <v>2025-03</v>
      </c>
      <c r="O288" s="2">
        <f>O287+Table3[[#This Row],[Volume]]</f>
        <v>87123861</v>
      </c>
    </row>
    <row r="289" spans="1:15" x14ac:dyDescent="0.35">
      <c r="A289" s="3" t="s">
        <v>20</v>
      </c>
      <c r="B289" s="2" t="s">
        <v>70</v>
      </c>
      <c r="C289" s="2">
        <v>1964.71</v>
      </c>
      <c r="D289" s="2">
        <v>1975.6</v>
      </c>
      <c r="E289" s="2">
        <v>1947.46</v>
      </c>
      <c r="F289" s="2">
        <v>1959.9</v>
      </c>
      <c r="G289" s="2">
        <v>1959.66</v>
      </c>
      <c r="H289" s="2">
        <v>251099</v>
      </c>
      <c r="I289" s="2">
        <f t="shared" si="20"/>
        <v>-2.4481984618594833E-3</v>
      </c>
      <c r="J289" s="2">
        <f t="shared" si="21"/>
        <v>1951.26125</v>
      </c>
      <c r="K289" s="2">
        <f t="shared" si="22"/>
        <v>1951.3069230769231</v>
      </c>
      <c r="L289" s="2">
        <f t="shared" si="23"/>
        <v>1951.3069230769231</v>
      </c>
      <c r="M289" s="4">
        <f t="shared" si="24"/>
        <v>1.4322724473331877E-2</v>
      </c>
      <c r="N289" s="2" t="str">
        <f>TEXT(Table3[[#This Row],[Date]],"YYYY-MM")</f>
        <v>2025-03</v>
      </c>
      <c r="O289" s="2">
        <f>O288+Table3[[#This Row],[Volume]]</f>
        <v>87374960</v>
      </c>
    </row>
    <row r="290" spans="1:15" x14ac:dyDescent="0.35">
      <c r="A290" s="3" t="s">
        <v>19</v>
      </c>
      <c r="B290" s="2" t="s">
        <v>70</v>
      </c>
      <c r="C290" s="2">
        <v>1952.82</v>
      </c>
      <c r="D290" s="2">
        <v>1970.04</v>
      </c>
      <c r="E290" s="2">
        <v>1937.84</v>
      </c>
      <c r="F290" s="2">
        <v>1952.34</v>
      </c>
      <c r="G290" s="2">
        <v>1952.43</v>
      </c>
      <c r="H290" s="2">
        <v>378561</v>
      </c>
      <c r="I290" s="2">
        <f t="shared" si="20"/>
        <v>-2.4579838387563536E-4</v>
      </c>
      <c r="J290" s="2">
        <f t="shared" si="21"/>
        <v>1948.7775000000001</v>
      </c>
      <c r="K290" s="2">
        <f t="shared" si="22"/>
        <v>1950.6108333333334</v>
      </c>
      <c r="L290" s="2">
        <f t="shared" si="23"/>
        <v>1950.6108333333334</v>
      </c>
      <c r="M290" s="4">
        <f t="shared" si="24"/>
        <v>1.6488974918323268E-2</v>
      </c>
      <c r="N290" s="2" t="str">
        <f>TEXT(Table3[[#This Row],[Date]],"YYYY-MM")</f>
        <v>2025-03</v>
      </c>
      <c r="O290" s="2">
        <f>O289+Table3[[#This Row],[Volume]]</f>
        <v>87753521</v>
      </c>
    </row>
    <row r="291" spans="1:15" x14ac:dyDescent="0.35">
      <c r="A291" s="3" t="s">
        <v>18</v>
      </c>
      <c r="B291" s="2" t="s">
        <v>70</v>
      </c>
      <c r="C291" s="2">
        <v>1967.68</v>
      </c>
      <c r="D291" s="2">
        <v>1974.78</v>
      </c>
      <c r="E291" s="2">
        <v>1950.75</v>
      </c>
      <c r="F291" s="2">
        <v>1964.04</v>
      </c>
      <c r="G291" s="2">
        <v>1962.85</v>
      </c>
      <c r="H291" s="2">
        <v>189681</v>
      </c>
      <c r="I291" s="2">
        <f t="shared" si="20"/>
        <v>-1.8498942917548077E-3</v>
      </c>
      <c r="J291" s="2">
        <f t="shared" si="21"/>
        <v>1952.1750000000002</v>
      </c>
      <c r="K291" s="2">
        <f t="shared" si="22"/>
        <v>1950.4454545454546</v>
      </c>
      <c r="L291" s="2">
        <f t="shared" si="23"/>
        <v>1950.4454545454546</v>
      </c>
      <c r="M291" s="4">
        <f t="shared" si="24"/>
        <v>1.2212351601886471E-2</v>
      </c>
      <c r="N291" s="2" t="str">
        <f>TEXT(Table3[[#This Row],[Date]],"YYYY-MM")</f>
        <v>2025-03</v>
      </c>
      <c r="O291" s="2">
        <f>O290+Table3[[#This Row],[Volume]]</f>
        <v>87943202</v>
      </c>
    </row>
    <row r="292" spans="1:15" x14ac:dyDescent="0.35">
      <c r="A292" s="3" t="s">
        <v>17</v>
      </c>
      <c r="B292" s="2" t="s">
        <v>70</v>
      </c>
      <c r="C292" s="2">
        <v>1957.7</v>
      </c>
      <c r="D292" s="2">
        <v>1965.42</v>
      </c>
      <c r="E292" s="2">
        <v>1951.7</v>
      </c>
      <c r="F292" s="2">
        <v>1959.01</v>
      </c>
      <c r="G292" s="2">
        <v>1959.97</v>
      </c>
      <c r="H292" s="2">
        <v>477610</v>
      </c>
      <c r="I292" s="2">
        <f t="shared" si="20"/>
        <v>6.6915257700359877E-4</v>
      </c>
      <c r="J292" s="2">
        <f t="shared" si="21"/>
        <v>1950.8175000000003</v>
      </c>
      <c r="K292" s="2">
        <f t="shared" si="22"/>
        <v>1949.2050000000004</v>
      </c>
      <c r="L292" s="2">
        <f t="shared" si="23"/>
        <v>1949.2050000000004</v>
      </c>
      <c r="M292" s="4">
        <f t="shared" si="24"/>
        <v>7.0082239362517377E-3</v>
      </c>
      <c r="N292" s="2" t="str">
        <f>TEXT(Table3[[#This Row],[Date]],"YYYY-MM")</f>
        <v>2025-03</v>
      </c>
      <c r="O292" s="2">
        <f>O291+Table3[[#This Row],[Volume]]</f>
        <v>88420812</v>
      </c>
    </row>
    <row r="293" spans="1:15" x14ac:dyDescent="0.35">
      <c r="A293" s="3" t="s">
        <v>16</v>
      </c>
      <c r="B293" s="2" t="s">
        <v>70</v>
      </c>
      <c r="C293" s="2">
        <v>1931.28</v>
      </c>
      <c r="D293" s="2">
        <v>1941.51</v>
      </c>
      <c r="E293" s="2">
        <v>1912.34</v>
      </c>
      <c r="F293" s="2">
        <v>1922.94</v>
      </c>
      <c r="G293" s="2">
        <v>1924.26</v>
      </c>
      <c r="H293" s="2">
        <v>142690</v>
      </c>
      <c r="I293" s="2">
        <f t="shared" si="20"/>
        <v>-4.3183795203180888E-3</v>
      </c>
      <c r="J293" s="2">
        <f t="shared" si="21"/>
        <v>1948.385</v>
      </c>
      <c r="K293" s="2">
        <f t="shared" si="22"/>
        <v>1948.008888888889</v>
      </c>
      <c r="L293" s="2">
        <f t="shared" si="23"/>
        <v>1948.008888888889</v>
      </c>
      <c r="M293" s="4">
        <f t="shared" si="24"/>
        <v>1.5103972494925682E-2</v>
      </c>
      <c r="N293" s="2" t="str">
        <f>TEXT(Table3[[#This Row],[Date]],"YYYY-MM")</f>
        <v>2025-03</v>
      </c>
      <c r="O293" s="2">
        <f>O292+Table3[[#This Row],[Volume]]</f>
        <v>88563502</v>
      </c>
    </row>
    <row r="294" spans="1:15" x14ac:dyDescent="0.35">
      <c r="A294" s="3" t="s">
        <v>15</v>
      </c>
      <c r="B294" s="2" t="s">
        <v>70</v>
      </c>
      <c r="C294" s="2">
        <v>1949.98</v>
      </c>
      <c r="D294" s="2">
        <v>1965.2</v>
      </c>
      <c r="E294" s="2">
        <v>1933.58</v>
      </c>
      <c r="F294" s="2">
        <v>1953.19</v>
      </c>
      <c r="G294" s="2">
        <v>1953.57</v>
      </c>
      <c r="H294" s="2">
        <v>318892</v>
      </c>
      <c r="I294" s="2">
        <f t="shared" si="20"/>
        <v>1.6461707299562233E-3</v>
      </c>
      <c r="J294" s="2">
        <f t="shared" si="21"/>
        <v>1950.9775</v>
      </c>
      <c r="K294" s="2">
        <f t="shared" si="22"/>
        <v>1950.9775</v>
      </c>
      <c r="L294" s="2">
        <f t="shared" si="23"/>
        <v>1950.9775</v>
      </c>
      <c r="M294" s="4">
        <f t="shared" si="24"/>
        <v>1.6215550928727535E-2</v>
      </c>
      <c r="N294" s="2" t="str">
        <f>TEXT(Table3[[#This Row],[Date]],"YYYY-MM")</f>
        <v>2025-03</v>
      </c>
      <c r="O294" s="2">
        <f>O293+Table3[[#This Row],[Volume]]</f>
        <v>88882394</v>
      </c>
    </row>
    <row r="295" spans="1:15" x14ac:dyDescent="0.35">
      <c r="A295" s="3" t="s">
        <v>14</v>
      </c>
      <c r="B295" s="2" t="s">
        <v>70</v>
      </c>
      <c r="C295" s="2">
        <v>1949.48</v>
      </c>
      <c r="D295" s="2">
        <v>1959.53</v>
      </c>
      <c r="E295" s="2">
        <v>1942.46</v>
      </c>
      <c r="F295" s="2">
        <v>1951.23</v>
      </c>
      <c r="G295" s="2">
        <v>1949.48</v>
      </c>
      <c r="H295" s="2">
        <v>378755</v>
      </c>
      <c r="I295" s="2">
        <f t="shared" si="20"/>
        <v>8.9767527750990006E-4</v>
      </c>
      <c r="J295" s="2">
        <f t="shared" si="21"/>
        <v>1950.6071428571429</v>
      </c>
      <c r="K295" s="2">
        <f t="shared" si="22"/>
        <v>1950.6071428571429</v>
      </c>
      <c r="L295" s="2">
        <f t="shared" si="23"/>
        <v>1950.6071428571429</v>
      </c>
      <c r="M295" s="4">
        <f t="shared" si="24"/>
        <v>8.7561811354822505E-3</v>
      </c>
      <c r="N295" s="2" t="str">
        <f>TEXT(Table3[[#This Row],[Date]],"YYYY-MM")</f>
        <v>2025-03</v>
      </c>
      <c r="O295" s="2">
        <f>O294+Table3[[#This Row],[Volume]]</f>
        <v>89261149</v>
      </c>
    </row>
    <row r="296" spans="1:15" x14ac:dyDescent="0.35">
      <c r="A296" s="3" t="s">
        <v>13</v>
      </c>
      <c r="B296" s="2" t="s">
        <v>70</v>
      </c>
      <c r="C296" s="2">
        <v>1940.76</v>
      </c>
      <c r="D296" s="2">
        <v>1954.48</v>
      </c>
      <c r="E296" s="2">
        <v>1933.44</v>
      </c>
      <c r="F296" s="2">
        <v>1947.95</v>
      </c>
      <c r="G296" s="2">
        <v>1947.87</v>
      </c>
      <c r="H296" s="2">
        <v>171024</v>
      </c>
      <c r="I296" s="2">
        <f t="shared" si="20"/>
        <v>3.7047342278283017E-3</v>
      </c>
      <c r="J296" s="2">
        <f t="shared" si="21"/>
        <v>1950.7949999999998</v>
      </c>
      <c r="K296" s="2">
        <f t="shared" si="22"/>
        <v>1950.7949999999998</v>
      </c>
      <c r="L296" s="2">
        <f t="shared" si="23"/>
        <v>1950.7949999999998</v>
      </c>
      <c r="M296" s="4">
        <f t="shared" si="24"/>
        <v>1.0841113790473816E-2</v>
      </c>
      <c r="N296" s="2" t="str">
        <f>TEXT(Table3[[#This Row],[Date]],"YYYY-MM")</f>
        <v>2025-03</v>
      </c>
      <c r="O296" s="2">
        <f>O295+Table3[[#This Row],[Volume]]</f>
        <v>89432173</v>
      </c>
    </row>
    <row r="297" spans="1:15" x14ac:dyDescent="0.35">
      <c r="A297" s="3" t="s">
        <v>12</v>
      </c>
      <c r="B297" s="2" t="s">
        <v>70</v>
      </c>
      <c r="C297" s="2">
        <v>1948.37</v>
      </c>
      <c r="D297" s="2">
        <v>1960.98</v>
      </c>
      <c r="E297" s="2">
        <v>1939.73</v>
      </c>
      <c r="F297" s="2">
        <v>1941.33</v>
      </c>
      <c r="G297" s="2">
        <v>1939.79</v>
      </c>
      <c r="H297" s="2">
        <v>269412</v>
      </c>
      <c r="I297" s="2">
        <f t="shared" si="20"/>
        <v>-3.6132767390177245E-3</v>
      </c>
      <c r="J297" s="2">
        <f t="shared" si="21"/>
        <v>1951.3799999999999</v>
      </c>
      <c r="K297" s="2">
        <f t="shared" si="22"/>
        <v>1951.3799999999999</v>
      </c>
      <c r="L297" s="2">
        <f t="shared" si="23"/>
        <v>1951.3799999999999</v>
      </c>
      <c r="M297" s="4">
        <f t="shared" si="24"/>
        <v>1.0906552656836228E-2</v>
      </c>
      <c r="N297" s="2" t="str">
        <f>TEXT(Table3[[#This Row],[Date]],"YYYY-MM")</f>
        <v>2025-03</v>
      </c>
      <c r="O297" s="2">
        <f>O296+Table3[[#This Row],[Volume]]</f>
        <v>89701585</v>
      </c>
    </row>
    <row r="298" spans="1:15" x14ac:dyDescent="0.35">
      <c r="A298" s="3" t="s">
        <v>11</v>
      </c>
      <c r="B298" s="2" t="s">
        <v>70</v>
      </c>
      <c r="C298" s="2">
        <v>1976.43</v>
      </c>
      <c r="D298" s="2">
        <v>1985.63</v>
      </c>
      <c r="E298" s="2">
        <v>1959.89</v>
      </c>
      <c r="F298" s="2">
        <v>1980.86</v>
      </c>
      <c r="G298" s="2">
        <v>1979.61</v>
      </c>
      <c r="H298" s="2">
        <v>340506</v>
      </c>
      <c r="I298" s="2">
        <f t="shared" si="20"/>
        <v>2.241415076678575E-3</v>
      </c>
      <c r="J298" s="2">
        <f t="shared" si="21"/>
        <v>1954.2774999999999</v>
      </c>
      <c r="K298" s="2">
        <f t="shared" si="22"/>
        <v>1954.2774999999999</v>
      </c>
      <c r="L298" s="2">
        <f t="shared" si="23"/>
        <v>1954.2774999999999</v>
      </c>
      <c r="M298" s="4">
        <f t="shared" si="24"/>
        <v>1.3023481732214149E-2</v>
      </c>
      <c r="N298" s="2" t="str">
        <f>TEXT(Table3[[#This Row],[Date]],"YYYY-MM")</f>
        <v>2025-03</v>
      </c>
      <c r="O298" s="2">
        <f>O297+Table3[[#This Row],[Volume]]</f>
        <v>90042091</v>
      </c>
    </row>
    <row r="299" spans="1:15" x14ac:dyDescent="0.35">
      <c r="A299" s="3" t="s">
        <v>10</v>
      </c>
      <c r="B299" s="2" t="s">
        <v>70</v>
      </c>
      <c r="C299" s="2">
        <v>1950.23</v>
      </c>
      <c r="D299" s="2">
        <v>1957.79</v>
      </c>
      <c r="E299" s="2">
        <v>1935.2</v>
      </c>
      <c r="F299" s="2">
        <v>1950.27</v>
      </c>
      <c r="G299" s="2">
        <v>1951.99</v>
      </c>
      <c r="H299" s="2">
        <v>204247</v>
      </c>
      <c r="I299" s="2">
        <f t="shared" si="20"/>
        <v>2.0510401337259513E-5</v>
      </c>
      <c r="J299" s="2">
        <f t="shared" si="21"/>
        <v>1945.8333333333333</v>
      </c>
      <c r="K299" s="2">
        <f t="shared" si="22"/>
        <v>1945.8333333333333</v>
      </c>
      <c r="L299" s="2">
        <f t="shared" si="23"/>
        <v>1945.8333333333333</v>
      </c>
      <c r="M299" s="4">
        <f t="shared" si="24"/>
        <v>1.1583249155227803E-2</v>
      </c>
      <c r="N299" s="2" t="str">
        <f>TEXT(Table3[[#This Row],[Date]],"YYYY-MM")</f>
        <v>2025-03</v>
      </c>
      <c r="O299" s="2">
        <f>O298+Table3[[#This Row],[Volume]]</f>
        <v>90246338</v>
      </c>
    </row>
    <row r="300" spans="1:15" x14ac:dyDescent="0.35">
      <c r="A300" s="3" t="s">
        <v>9</v>
      </c>
      <c r="B300" s="2" t="s">
        <v>70</v>
      </c>
      <c r="C300" s="2">
        <v>1930.97</v>
      </c>
      <c r="D300" s="2">
        <v>1950.71</v>
      </c>
      <c r="E300" s="2">
        <v>1924.29</v>
      </c>
      <c r="F300" s="2">
        <v>1940.92</v>
      </c>
      <c r="G300" s="2">
        <v>1940.51</v>
      </c>
      <c r="H300" s="2">
        <v>156769</v>
      </c>
      <c r="I300" s="2">
        <f t="shared" si="20"/>
        <v>5.1528506398338895E-3</v>
      </c>
      <c r="J300" s="2">
        <f t="shared" si="21"/>
        <v>1942.7550000000001</v>
      </c>
      <c r="K300" s="2">
        <f t="shared" si="22"/>
        <v>1942.7550000000001</v>
      </c>
      <c r="L300" s="2">
        <f t="shared" si="23"/>
        <v>1942.7550000000001</v>
      </c>
      <c r="M300" s="4">
        <f t="shared" si="24"/>
        <v>1.3682242603458404E-2</v>
      </c>
      <c r="N300" s="2" t="str">
        <f>TEXT(Table3[[#This Row],[Date]],"YYYY-MM")</f>
        <v>2025-03</v>
      </c>
      <c r="O300" s="2">
        <f>O299+Table3[[#This Row],[Volume]]</f>
        <v>90403107</v>
      </c>
    </row>
    <row r="301" spans="1:15" x14ac:dyDescent="0.35">
      <c r="A301" s="10" t="s">
        <v>8</v>
      </c>
      <c r="B301" s="11" t="s">
        <v>70</v>
      </c>
      <c r="C301" s="11">
        <v>1949.49</v>
      </c>
      <c r="D301" s="11">
        <v>1957.29</v>
      </c>
      <c r="E301" s="11">
        <v>1940.21</v>
      </c>
      <c r="F301" s="11">
        <v>1946.31</v>
      </c>
      <c r="G301" s="11">
        <v>1945</v>
      </c>
      <c r="H301" s="11">
        <v>323996</v>
      </c>
      <c r="I301" s="11">
        <f t="shared" si="20"/>
        <v>-1.6311958512226601E-3</v>
      </c>
      <c r="J301" s="11">
        <f t="shared" si="21"/>
        <v>1945</v>
      </c>
      <c r="K301" s="11">
        <f t="shared" si="22"/>
        <v>1945</v>
      </c>
      <c r="L301" s="11">
        <f t="shared" si="23"/>
        <v>1945</v>
      </c>
      <c r="M301" s="12">
        <f t="shared" si="24"/>
        <v>8.7612657669441374E-3</v>
      </c>
      <c r="N301" s="11" t="str">
        <f>TEXT(Table3[[#This Row],[Date]],"YYYY-MM")</f>
        <v>2025-03</v>
      </c>
      <c r="O301" s="2">
        <f>O300+Table3[[#This Row],[Volume]]</f>
        <v>90727103</v>
      </c>
    </row>
  </sheetData>
  <conditionalFormatting sqref="I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3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8C60-1709-4931-ACE3-BCD3FEAEBF1C}">
  <dimension ref="A3:B10"/>
  <sheetViews>
    <sheetView workbookViewId="0">
      <selection activeCell="D12" sqref="D12"/>
    </sheetView>
  </sheetViews>
  <sheetFormatPr defaultRowHeight="14.5" x14ac:dyDescent="0.35"/>
  <cols>
    <col min="1" max="1" width="16.08984375" bestFit="1" customWidth="1"/>
    <col min="2" max="2" width="12.453125" bestFit="1" customWidth="1"/>
  </cols>
  <sheetData>
    <row r="3" spans="1:2" x14ac:dyDescent="0.35">
      <c r="A3" s="13" t="s">
        <v>92</v>
      </c>
    </row>
    <row r="4" spans="1:2" x14ac:dyDescent="0.35">
      <c r="A4" s="13" t="s">
        <v>1</v>
      </c>
      <c r="B4" t="s">
        <v>86</v>
      </c>
    </row>
    <row r="5" spans="1:2" x14ac:dyDescent="0.35">
      <c r="A5" t="s">
        <v>71</v>
      </c>
      <c r="B5" s="14">
        <v>-1.5040097547737865</v>
      </c>
    </row>
    <row r="6" spans="1:2" x14ac:dyDescent="0.35">
      <c r="A6" t="s">
        <v>69</v>
      </c>
      <c r="B6" s="14">
        <v>-1.4444561366782591</v>
      </c>
    </row>
    <row r="7" spans="1:2" x14ac:dyDescent="0.35">
      <c r="A7" t="s">
        <v>72</v>
      </c>
      <c r="B7" s="14">
        <v>-0.48910593425131321</v>
      </c>
    </row>
    <row r="8" spans="1:2" x14ac:dyDescent="0.35">
      <c r="A8" t="s">
        <v>68</v>
      </c>
      <c r="B8" s="14">
        <v>-0.62522548353164653</v>
      </c>
    </row>
    <row r="9" spans="1:2" x14ac:dyDescent="0.35">
      <c r="A9" t="s">
        <v>70</v>
      </c>
      <c r="B9" s="14">
        <v>-0.79439179576750651</v>
      </c>
    </row>
    <row r="10" spans="1:2" x14ac:dyDescent="0.35">
      <c r="A10" t="s">
        <v>79</v>
      </c>
      <c r="B10" s="14">
        <v>-4.8571891050025116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0605-9A0A-40D2-BA3E-6C258354435F}">
  <dimension ref="A1:H302"/>
  <sheetViews>
    <sheetView topLeftCell="A286" workbookViewId="0">
      <selection activeCell="I304" sqref="I304"/>
    </sheetView>
  </sheetViews>
  <sheetFormatPr defaultRowHeight="14.5" x14ac:dyDescent="0.35"/>
  <cols>
    <col min="2" max="2" width="11.26953125" bestFit="1" customWidth="1"/>
  </cols>
  <sheetData>
    <row r="1" spans="1:8" x14ac:dyDescent="0.35">
      <c r="A1" s="17" t="s">
        <v>5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 x14ac:dyDescent="0.35">
      <c r="A2" s="18">
        <v>693.24</v>
      </c>
      <c r="B2">
        <v>0</v>
      </c>
      <c r="C2">
        <f>IF(B3 &gt; 0, B3, 0)</f>
        <v>0</v>
      </c>
      <c r="D2">
        <f>IF(B3 &lt; 0, ABS(B3), 0)</f>
        <v>12.860000000000014</v>
      </c>
      <c r="E2">
        <f>AVERAGE(C3:C16)</f>
        <v>4.3307142857142855</v>
      </c>
      <c r="F2">
        <f>AVERAGE(D3:D16)</f>
        <v>4.1392857142857178</v>
      </c>
      <c r="G2">
        <f t="shared" ref="G2:G15" si="0">E2/F2</f>
        <v>1.046246764452113</v>
      </c>
      <c r="H2">
        <f t="shared" ref="H2:H65" si="1">100 - (100 / (1 + G2))</f>
        <v>51.130038792376439</v>
      </c>
    </row>
    <row r="3" spans="1:8" x14ac:dyDescent="0.35">
      <c r="A3" s="19">
        <v>680.38</v>
      </c>
      <c r="B3">
        <f>A3-A2</f>
        <v>-12.860000000000014</v>
      </c>
      <c r="C3">
        <f t="shared" ref="C3:C66" si="2">IF(B4 &gt; 0, B4, 0)</f>
        <v>14.029999999999973</v>
      </c>
      <c r="D3">
        <f t="shared" ref="D3:D66" si="3">IF(B4 &lt; 0, ABS(B4), 0)</f>
        <v>0</v>
      </c>
      <c r="E3">
        <f t="shared" ref="E3:E66" si="4">AVERAGE(C4:C17)</f>
        <v>4.587142857142859</v>
      </c>
      <c r="F3">
        <f t="shared" ref="F3:F66" si="5">AVERAGE(D4:D17)</f>
        <v>4.1392857142857178</v>
      </c>
      <c r="G3">
        <f t="shared" si="0"/>
        <v>1.108196721311475</v>
      </c>
      <c r="H3">
        <f t="shared" si="1"/>
        <v>52.5660964230171</v>
      </c>
    </row>
    <row r="4" spans="1:8" x14ac:dyDescent="0.35">
      <c r="A4" s="18">
        <v>694.41</v>
      </c>
      <c r="B4">
        <f t="shared" ref="B4:B67" si="6">A4-A3</f>
        <v>14.029999999999973</v>
      </c>
      <c r="C4">
        <f t="shared" si="2"/>
        <v>0</v>
      </c>
      <c r="D4">
        <f t="shared" si="3"/>
        <v>7.6899999999999409</v>
      </c>
      <c r="E4">
        <f t="shared" si="4"/>
        <v>4.587142857142859</v>
      </c>
      <c r="F4">
        <f t="shared" si="5"/>
        <v>3.8657142857142861</v>
      </c>
      <c r="G4">
        <f t="shared" si="0"/>
        <v>1.1866223207686626</v>
      </c>
      <c r="H4">
        <f t="shared" si="1"/>
        <v>54.267365218860917</v>
      </c>
    </row>
    <row r="5" spans="1:8" x14ac:dyDescent="0.35">
      <c r="A5" s="19">
        <v>686.72</v>
      </c>
      <c r="B5">
        <f t="shared" si="6"/>
        <v>-7.6899999999999409</v>
      </c>
      <c r="C5">
        <f t="shared" si="2"/>
        <v>0</v>
      </c>
      <c r="D5">
        <f t="shared" si="3"/>
        <v>7.8000000000000682</v>
      </c>
      <c r="E5">
        <f t="shared" si="4"/>
        <v>4.587142857142859</v>
      </c>
      <c r="F5">
        <f t="shared" si="5"/>
        <v>4.1821428571428543</v>
      </c>
      <c r="G5">
        <f t="shared" si="0"/>
        <v>1.0968403074295485</v>
      </c>
      <c r="H5">
        <f t="shared" si="1"/>
        <v>52.309196057668842</v>
      </c>
    </row>
    <row r="6" spans="1:8" x14ac:dyDescent="0.35">
      <c r="A6" s="18">
        <v>678.92</v>
      </c>
      <c r="B6">
        <f t="shared" si="6"/>
        <v>-7.8000000000000682</v>
      </c>
      <c r="C6">
        <f t="shared" si="2"/>
        <v>16.800000000000068</v>
      </c>
      <c r="D6">
        <f t="shared" si="3"/>
        <v>0</v>
      </c>
      <c r="E6">
        <f t="shared" si="4"/>
        <v>3.3871428571428543</v>
      </c>
      <c r="F6">
        <f t="shared" si="5"/>
        <v>4.464999999999999</v>
      </c>
      <c r="G6">
        <f t="shared" si="0"/>
        <v>0.75859862422012436</v>
      </c>
      <c r="H6">
        <f t="shared" si="1"/>
        <v>43.136541435458916</v>
      </c>
    </row>
    <row r="7" spans="1:8" x14ac:dyDescent="0.35">
      <c r="A7" s="19">
        <v>695.72</v>
      </c>
      <c r="B7">
        <f t="shared" si="6"/>
        <v>16.800000000000068</v>
      </c>
      <c r="C7">
        <f t="shared" si="2"/>
        <v>0</v>
      </c>
      <c r="D7">
        <f t="shared" si="3"/>
        <v>7.5500000000000682</v>
      </c>
      <c r="E7">
        <f t="shared" si="4"/>
        <v>4.1328571428571435</v>
      </c>
      <c r="F7">
        <f t="shared" si="5"/>
        <v>3.9257142857142804</v>
      </c>
      <c r="G7">
        <f t="shared" si="0"/>
        <v>1.0527656477438152</v>
      </c>
      <c r="H7">
        <f t="shared" si="1"/>
        <v>51.285233114696005</v>
      </c>
    </row>
    <row r="8" spans="1:8" x14ac:dyDescent="0.35">
      <c r="A8" s="18">
        <v>688.17</v>
      </c>
      <c r="B8">
        <f t="shared" si="6"/>
        <v>-7.5500000000000682</v>
      </c>
      <c r="C8">
        <f t="shared" si="2"/>
        <v>0</v>
      </c>
      <c r="D8">
        <f t="shared" si="3"/>
        <v>9.0099999999999909</v>
      </c>
      <c r="E8">
        <f t="shared" si="4"/>
        <v>4.1328571428571435</v>
      </c>
      <c r="F8">
        <f t="shared" si="5"/>
        <v>3.5471428571428549</v>
      </c>
      <c r="G8">
        <f t="shared" si="0"/>
        <v>1.1651228352799043</v>
      </c>
      <c r="H8">
        <f t="shared" si="1"/>
        <v>53.813244047619065</v>
      </c>
    </row>
    <row r="9" spans="1:8" x14ac:dyDescent="0.35">
      <c r="A9" s="19">
        <v>679.16</v>
      </c>
      <c r="B9">
        <f t="shared" si="6"/>
        <v>-9.0099999999999909</v>
      </c>
      <c r="C9">
        <f t="shared" si="2"/>
        <v>0</v>
      </c>
      <c r="D9">
        <f t="shared" si="3"/>
        <v>7.2999999999999545</v>
      </c>
      <c r="E9">
        <f t="shared" si="4"/>
        <v>4.7278571428571468</v>
      </c>
      <c r="F9">
        <f t="shared" si="5"/>
        <v>3.0257142857142867</v>
      </c>
      <c r="G9">
        <f t="shared" si="0"/>
        <v>1.562559017941455</v>
      </c>
      <c r="H9">
        <f t="shared" si="1"/>
        <v>60.976508521418708</v>
      </c>
    </row>
    <row r="10" spans="1:8" x14ac:dyDescent="0.35">
      <c r="A10" s="18">
        <v>671.86</v>
      </c>
      <c r="B10">
        <f t="shared" si="6"/>
        <v>-7.2999999999999545</v>
      </c>
      <c r="C10">
        <f t="shared" si="2"/>
        <v>0</v>
      </c>
      <c r="D10">
        <f t="shared" si="3"/>
        <v>1.2000000000000455</v>
      </c>
      <c r="E10">
        <f t="shared" si="4"/>
        <v>4.7278571428571468</v>
      </c>
      <c r="F10">
        <f t="shared" si="5"/>
        <v>6.0042857142857189</v>
      </c>
      <c r="G10">
        <f t="shared" si="0"/>
        <v>0.78741375208184639</v>
      </c>
      <c r="H10">
        <f t="shared" si="1"/>
        <v>44.053244592346097</v>
      </c>
    </row>
    <row r="11" spans="1:8" x14ac:dyDescent="0.35">
      <c r="A11" s="19">
        <v>670.66</v>
      </c>
      <c r="B11">
        <f t="shared" si="6"/>
        <v>-1.2000000000000455</v>
      </c>
      <c r="C11">
        <f t="shared" si="2"/>
        <v>6.1499999999999773</v>
      </c>
      <c r="D11">
        <f t="shared" si="3"/>
        <v>0</v>
      </c>
      <c r="E11">
        <f t="shared" si="4"/>
        <v>5.6728571428571479</v>
      </c>
      <c r="F11">
        <f t="shared" si="5"/>
        <v>6.0042857142857189</v>
      </c>
      <c r="G11">
        <f t="shared" si="0"/>
        <v>0.94480133238163233</v>
      </c>
      <c r="H11">
        <f t="shared" si="1"/>
        <v>48.580866160998298</v>
      </c>
    </row>
    <row r="12" spans="1:8" x14ac:dyDescent="0.35">
      <c r="A12" s="18">
        <v>676.81</v>
      </c>
      <c r="B12">
        <f t="shared" si="6"/>
        <v>6.1499999999999773</v>
      </c>
      <c r="C12">
        <f t="shared" si="2"/>
        <v>0</v>
      </c>
      <c r="D12">
        <f t="shared" si="3"/>
        <v>0.27999999999997272</v>
      </c>
      <c r="E12">
        <f t="shared" si="4"/>
        <v>6.5750000000000046</v>
      </c>
      <c r="F12">
        <f t="shared" si="5"/>
        <v>5.9842857142857202</v>
      </c>
      <c r="G12">
        <f t="shared" si="0"/>
        <v>1.0987109095249459</v>
      </c>
      <c r="H12">
        <f t="shared" si="1"/>
        <v>52.351703349826522</v>
      </c>
    </row>
    <row r="13" spans="1:8" x14ac:dyDescent="0.35">
      <c r="A13" s="19">
        <v>676.53</v>
      </c>
      <c r="B13">
        <f t="shared" si="6"/>
        <v>-0.27999999999997272</v>
      </c>
      <c r="C13">
        <f t="shared" si="2"/>
        <v>9.2699999999999818</v>
      </c>
      <c r="D13">
        <f t="shared" si="3"/>
        <v>0</v>
      </c>
      <c r="E13">
        <f t="shared" si="4"/>
        <v>5.912857142857149</v>
      </c>
      <c r="F13">
        <f t="shared" si="5"/>
        <v>6.752857142857148</v>
      </c>
      <c r="G13">
        <f t="shared" si="0"/>
        <v>0.87560820816585594</v>
      </c>
      <c r="H13">
        <f t="shared" si="1"/>
        <v>46.683961200090238</v>
      </c>
    </row>
    <row r="14" spans="1:8" x14ac:dyDescent="0.35">
      <c r="A14" s="18">
        <v>685.8</v>
      </c>
      <c r="B14">
        <f t="shared" si="6"/>
        <v>9.2699999999999818</v>
      </c>
      <c r="C14">
        <f t="shared" si="2"/>
        <v>0</v>
      </c>
      <c r="D14">
        <f t="shared" si="3"/>
        <v>17.120000000000005</v>
      </c>
      <c r="E14">
        <f t="shared" si="4"/>
        <v>6.085714285714297</v>
      </c>
      <c r="F14">
        <f t="shared" si="5"/>
        <v>5.5300000000000056</v>
      </c>
      <c r="G14">
        <f t="shared" si="0"/>
        <v>1.1004908292430906</v>
      </c>
      <c r="H14">
        <f t="shared" si="1"/>
        <v>52.392079694994493</v>
      </c>
    </row>
    <row r="15" spans="1:8" x14ac:dyDescent="0.35">
      <c r="A15" s="19">
        <v>668.68</v>
      </c>
      <c r="B15">
        <f t="shared" si="6"/>
        <v>-17.120000000000005</v>
      </c>
      <c r="C15">
        <f t="shared" si="2"/>
        <v>4.8799999999999955</v>
      </c>
      <c r="D15">
        <f t="shared" si="3"/>
        <v>0</v>
      </c>
      <c r="E15">
        <f t="shared" si="4"/>
        <v>6.997142857142868</v>
      </c>
      <c r="F15">
        <f t="shared" si="5"/>
        <v>5.5300000000000056</v>
      </c>
      <c r="G15">
        <f t="shared" si="0"/>
        <v>1.2653061224489803</v>
      </c>
      <c r="H15">
        <f t="shared" si="1"/>
        <v>55.855855855855872</v>
      </c>
    </row>
    <row r="16" spans="1:8" x14ac:dyDescent="0.35">
      <c r="A16" s="18">
        <v>673.56</v>
      </c>
      <c r="B16">
        <f t="shared" si="6"/>
        <v>4.8799999999999955</v>
      </c>
      <c r="C16">
        <f t="shared" si="2"/>
        <v>9.5</v>
      </c>
      <c r="D16">
        <f t="shared" si="3"/>
        <v>0</v>
      </c>
      <c r="E16">
        <f t="shared" si="4"/>
        <v>6.3185714285714392</v>
      </c>
      <c r="F16">
        <f t="shared" si="5"/>
        <v>6.3464285714285813</v>
      </c>
      <c r="G16">
        <f>E16/F16</f>
        <v>0.99561057962858768</v>
      </c>
      <c r="H16">
        <f>100 - (100 / (1 + G16))</f>
        <v>49.890023123343305</v>
      </c>
    </row>
    <row r="17" spans="1:8" x14ac:dyDescent="0.35">
      <c r="A17" s="19">
        <v>683.06</v>
      </c>
      <c r="B17">
        <f t="shared" si="6"/>
        <v>9.5</v>
      </c>
      <c r="C17">
        <f t="shared" si="2"/>
        <v>17.620000000000005</v>
      </c>
      <c r="D17">
        <f t="shared" si="3"/>
        <v>0</v>
      </c>
      <c r="E17">
        <f t="shared" si="4"/>
        <v>5.0600000000000103</v>
      </c>
      <c r="F17">
        <f t="shared" si="5"/>
        <v>6.4735714285714367</v>
      </c>
      <c r="G17">
        <f t="shared" ref="G17:G80" si="7">E17/F17</f>
        <v>0.78163963367538403</v>
      </c>
      <c r="H17">
        <f t="shared" si="1"/>
        <v>43.871926673685529</v>
      </c>
    </row>
    <row r="18" spans="1:8" x14ac:dyDescent="0.35">
      <c r="A18" s="18">
        <v>700.68</v>
      </c>
      <c r="B18">
        <f t="shared" si="6"/>
        <v>17.620000000000005</v>
      </c>
      <c r="C18">
        <f t="shared" si="2"/>
        <v>0</v>
      </c>
      <c r="D18">
        <f t="shared" si="3"/>
        <v>3.8599999999999</v>
      </c>
      <c r="E18">
        <f t="shared" si="4"/>
        <v>5.537857142857157</v>
      </c>
      <c r="F18">
        <f t="shared" si="5"/>
        <v>6.1978571428571581</v>
      </c>
      <c r="G18">
        <f t="shared" si="7"/>
        <v>0.8935115823441282</v>
      </c>
      <c r="H18">
        <f t="shared" si="1"/>
        <v>47.188070602556301</v>
      </c>
    </row>
    <row r="19" spans="1:8" x14ac:dyDescent="0.35">
      <c r="A19" s="19">
        <v>696.82</v>
      </c>
      <c r="B19">
        <f t="shared" si="6"/>
        <v>-3.8599999999999</v>
      </c>
      <c r="C19">
        <f t="shared" si="2"/>
        <v>0</v>
      </c>
      <c r="D19">
        <f t="shared" si="3"/>
        <v>12.230000000000018</v>
      </c>
      <c r="E19">
        <f t="shared" si="4"/>
        <v>5.537857142857157</v>
      </c>
      <c r="F19">
        <f t="shared" si="5"/>
        <v>5.9014285714285881</v>
      </c>
      <c r="G19">
        <f t="shared" si="7"/>
        <v>0.9383926410070198</v>
      </c>
      <c r="H19">
        <f t="shared" si="1"/>
        <v>48.410864814236646</v>
      </c>
    </row>
    <row r="20" spans="1:8" x14ac:dyDescent="0.35">
      <c r="A20" s="18">
        <v>684.59</v>
      </c>
      <c r="B20">
        <f t="shared" si="6"/>
        <v>-12.230000000000018</v>
      </c>
      <c r="C20">
        <f t="shared" si="2"/>
        <v>0</v>
      </c>
      <c r="D20">
        <f t="shared" si="3"/>
        <v>3.9600000000000364</v>
      </c>
      <c r="E20">
        <f t="shared" si="4"/>
        <v>6.6200000000000125</v>
      </c>
      <c r="F20">
        <f t="shared" si="5"/>
        <v>5.6185714285714425</v>
      </c>
      <c r="G20">
        <f t="shared" si="7"/>
        <v>1.1782354436816673</v>
      </c>
      <c r="H20">
        <f t="shared" si="1"/>
        <v>54.091280494922366</v>
      </c>
    </row>
    <row r="21" spans="1:8" x14ac:dyDescent="0.35">
      <c r="A21" s="19">
        <v>680.63</v>
      </c>
      <c r="B21">
        <f t="shared" si="6"/>
        <v>-3.9600000000000364</v>
      </c>
      <c r="C21">
        <f t="shared" si="2"/>
        <v>10.440000000000055</v>
      </c>
      <c r="D21">
        <f t="shared" si="3"/>
        <v>0</v>
      </c>
      <c r="E21">
        <f t="shared" si="4"/>
        <v>5.8742857142857234</v>
      </c>
      <c r="F21">
        <f t="shared" si="5"/>
        <v>5.8300000000000081</v>
      </c>
      <c r="G21">
        <f t="shared" si="7"/>
        <v>1.0075961774074984</v>
      </c>
      <c r="H21">
        <f t="shared" si="1"/>
        <v>50.189185890394242</v>
      </c>
    </row>
    <row r="22" spans="1:8" x14ac:dyDescent="0.35">
      <c r="A22" s="18">
        <v>691.07</v>
      </c>
      <c r="B22">
        <f t="shared" si="6"/>
        <v>10.440000000000055</v>
      </c>
      <c r="C22">
        <f t="shared" si="2"/>
        <v>0</v>
      </c>
      <c r="D22">
        <f t="shared" si="3"/>
        <v>3.7100000000000364</v>
      </c>
      <c r="E22">
        <f t="shared" si="4"/>
        <v>5.8742857142857234</v>
      </c>
      <c r="F22">
        <f t="shared" si="5"/>
        <v>5.8228571428571501</v>
      </c>
      <c r="G22">
        <f t="shared" si="7"/>
        <v>1.00883218842002</v>
      </c>
      <c r="H22">
        <f t="shared" si="1"/>
        <v>50.219833903273091</v>
      </c>
    </row>
    <row r="23" spans="1:8" x14ac:dyDescent="0.35">
      <c r="A23" s="19">
        <v>687.36</v>
      </c>
      <c r="B23">
        <f t="shared" si="6"/>
        <v>-3.7100000000000364</v>
      </c>
      <c r="C23">
        <f t="shared" si="2"/>
        <v>8.3300000000000409</v>
      </c>
      <c r="D23">
        <f t="shared" si="3"/>
        <v>0</v>
      </c>
      <c r="E23">
        <f t="shared" si="4"/>
        <v>5.7235714285714279</v>
      </c>
      <c r="F23">
        <f t="shared" si="5"/>
        <v>5.8228571428571501</v>
      </c>
      <c r="G23">
        <f t="shared" si="7"/>
        <v>0.98294896957801636</v>
      </c>
      <c r="H23">
        <f t="shared" si="1"/>
        <v>49.570058768945223</v>
      </c>
    </row>
    <row r="24" spans="1:8" x14ac:dyDescent="0.35">
      <c r="A24" s="18">
        <v>695.69</v>
      </c>
      <c r="B24">
        <f t="shared" si="6"/>
        <v>8.3300000000000409</v>
      </c>
      <c r="C24">
        <f t="shared" si="2"/>
        <v>0</v>
      </c>
      <c r="D24">
        <f t="shared" si="3"/>
        <v>42.900000000000091</v>
      </c>
      <c r="E24">
        <f t="shared" si="4"/>
        <v>5.7235714285714279</v>
      </c>
      <c r="F24">
        <f t="shared" si="5"/>
        <v>3.664999999999996</v>
      </c>
      <c r="G24">
        <f t="shared" si="7"/>
        <v>1.5616838822841566</v>
      </c>
      <c r="H24">
        <f t="shared" si="1"/>
        <v>60.963177115033496</v>
      </c>
    </row>
    <row r="25" spans="1:8" x14ac:dyDescent="0.35">
      <c r="A25" s="19">
        <v>652.79</v>
      </c>
      <c r="B25">
        <f t="shared" si="6"/>
        <v>-42.900000000000091</v>
      </c>
      <c r="C25">
        <f t="shared" si="2"/>
        <v>19.379999999999995</v>
      </c>
      <c r="D25">
        <f t="shared" si="3"/>
        <v>0</v>
      </c>
      <c r="E25">
        <f t="shared" si="4"/>
        <v>4.3392857142857144</v>
      </c>
      <c r="F25">
        <f t="shared" si="5"/>
        <v>5.5121428571428543</v>
      </c>
      <c r="G25">
        <f t="shared" si="7"/>
        <v>0.78722301412466023</v>
      </c>
      <c r="H25">
        <f t="shared" si="1"/>
        <v>44.047273781902561</v>
      </c>
    </row>
    <row r="26" spans="1:8" x14ac:dyDescent="0.35">
      <c r="A26" s="18">
        <v>672.17</v>
      </c>
      <c r="B26">
        <f t="shared" si="6"/>
        <v>19.379999999999995</v>
      </c>
      <c r="C26">
        <f t="shared" si="2"/>
        <v>12.629999999999995</v>
      </c>
      <c r="D26">
        <f t="shared" si="3"/>
        <v>0</v>
      </c>
      <c r="E26">
        <f t="shared" si="4"/>
        <v>5.7635714285714323</v>
      </c>
      <c r="F26">
        <f t="shared" si="5"/>
        <v>5.5121428571428543</v>
      </c>
      <c r="G26">
        <f t="shared" si="7"/>
        <v>1.0456135804068951</v>
      </c>
      <c r="H26">
        <f t="shared" si="1"/>
        <v>51.114911947295106</v>
      </c>
    </row>
    <row r="27" spans="1:8" x14ac:dyDescent="0.35">
      <c r="A27" s="19">
        <v>684.8</v>
      </c>
      <c r="B27">
        <f t="shared" si="6"/>
        <v>12.629999999999995</v>
      </c>
      <c r="C27">
        <f t="shared" si="2"/>
        <v>0</v>
      </c>
      <c r="D27">
        <f t="shared" si="3"/>
        <v>10.759999999999991</v>
      </c>
      <c r="E27">
        <f t="shared" si="4"/>
        <v>5.7635714285714323</v>
      </c>
      <c r="F27">
        <f t="shared" si="5"/>
        <v>5.337142857142859</v>
      </c>
      <c r="G27">
        <f t="shared" si="7"/>
        <v>1.0798982869379019</v>
      </c>
      <c r="H27">
        <f t="shared" si="1"/>
        <v>51.920725822019186</v>
      </c>
    </row>
    <row r="28" spans="1:8" x14ac:dyDescent="0.35">
      <c r="A28" s="18">
        <v>674.04</v>
      </c>
      <c r="B28">
        <f t="shared" si="6"/>
        <v>-10.759999999999991</v>
      </c>
      <c r="C28">
        <f t="shared" si="2"/>
        <v>2.4200000000000728</v>
      </c>
      <c r="D28">
        <f t="shared" si="3"/>
        <v>0</v>
      </c>
      <c r="E28">
        <f t="shared" si="4"/>
        <v>5.5907142857142844</v>
      </c>
      <c r="F28">
        <f t="shared" si="5"/>
        <v>5.459285714285719</v>
      </c>
      <c r="G28">
        <f t="shared" si="7"/>
        <v>1.0240743163679173</v>
      </c>
      <c r="H28">
        <f t="shared" si="1"/>
        <v>50.594699418228807</v>
      </c>
    </row>
    <row r="29" spans="1:8" x14ac:dyDescent="0.35">
      <c r="A29" s="19">
        <v>676.46</v>
      </c>
      <c r="B29">
        <f t="shared" si="6"/>
        <v>2.4200000000000728</v>
      </c>
      <c r="C29">
        <f t="shared" si="2"/>
        <v>17.639999999999986</v>
      </c>
      <c r="D29">
        <f t="shared" si="3"/>
        <v>0</v>
      </c>
      <c r="E29">
        <f t="shared" si="4"/>
        <v>4.3307142857142855</v>
      </c>
      <c r="F29">
        <f t="shared" si="5"/>
        <v>5.7757142857142867</v>
      </c>
      <c r="G29">
        <f t="shared" si="7"/>
        <v>0.74981449418748436</v>
      </c>
      <c r="H29">
        <f t="shared" si="1"/>
        <v>42.851084882323839</v>
      </c>
    </row>
    <row r="30" spans="1:8" x14ac:dyDescent="0.35">
      <c r="A30" s="18">
        <v>694.1</v>
      </c>
      <c r="B30">
        <f t="shared" si="6"/>
        <v>17.639999999999986</v>
      </c>
      <c r="C30">
        <f t="shared" si="2"/>
        <v>0</v>
      </c>
      <c r="D30">
        <f t="shared" si="3"/>
        <v>11.430000000000064</v>
      </c>
      <c r="E30">
        <f t="shared" si="4"/>
        <v>4.5692857142857166</v>
      </c>
      <c r="F30">
        <f t="shared" si="5"/>
        <v>4.959285714285711</v>
      </c>
      <c r="G30">
        <f t="shared" si="7"/>
        <v>0.9213596428057047</v>
      </c>
      <c r="H30">
        <f t="shared" si="1"/>
        <v>47.953523238380839</v>
      </c>
    </row>
    <row r="31" spans="1:8" x14ac:dyDescent="0.35">
      <c r="A31" s="19">
        <v>682.67</v>
      </c>
      <c r="B31">
        <f t="shared" si="6"/>
        <v>-11.430000000000064</v>
      </c>
      <c r="C31">
        <f t="shared" si="2"/>
        <v>0</v>
      </c>
      <c r="D31">
        <f t="shared" si="3"/>
        <v>1.7799999999999727</v>
      </c>
      <c r="E31">
        <f t="shared" si="4"/>
        <v>6.5464285714285699</v>
      </c>
      <c r="F31">
        <f t="shared" si="5"/>
        <v>4.8321428571428555</v>
      </c>
      <c r="G31">
        <f t="shared" si="7"/>
        <v>1.3547671840354769</v>
      </c>
      <c r="H31">
        <f t="shared" si="1"/>
        <v>57.532956685499059</v>
      </c>
    </row>
    <row r="32" spans="1:8" x14ac:dyDescent="0.35">
      <c r="A32" s="18">
        <v>680.89</v>
      </c>
      <c r="B32">
        <f t="shared" si="6"/>
        <v>-1.7799999999999727</v>
      </c>
      <c r="C32">
        <f t="shared" si="2"/>
        <v>6.6900000000000546</v>
      </c>
      <c r="D32">
        <f t="shared" si="3"/>
        <v>0</v>
      </c>
      <c r="E32">
        <f t="shared" si="4"/>
        <v>6.0685714285714232</v>
      </c>
      <c r="F32">
        <f t="shared" si="5"/>
        <v>6.6542857142857121</v>
      </c>
      <c r="G32">
        <f t="shared" si="7"/>
        <v>0.91197939029626396</v>
      </c>
      <c r="H32">
        <f t="shared" si="1"/>
        <v>47.698181001571953</v>
      </c>
    </row>
    <row r="33" spans="1:8" x14ac:dyDescent="0.35">
      <c r="A33" s="19">
        <v>687.58</v>
      </c>
      <c r="B33">
        <f t="shared" si="6"/>
        <v>6.6900000000000546</v>
      </c>
      <c r="C33">
        <f t="shared" si="2"/>
        <v>0</v>
      </c>
      <c r="D33">
        <f t="shared" si="3"/>
        <v>8.0800000000000409</v>
      </c>
      <c r="E33">
        <f t="shared" si="4"/>
        <v>6.0685714285714232</v>
      </c>
      <c r="F33">
        <f t="shared" si="5"/>
        <v>6.2671428571428498</v>
      </c>
      <c r="G33">
        <f t="shared" si="7"/>
        <v>0.96831547754729907</v>
      </c>
      <c r="H33">
        <f t="shared" si="1"/>
        <v>49.195136074116974</v>
      </c>
    </row>
    <row r="34" spans="1:8" x14ac:dyDescent="0.35">
      <c r="A34" s="18">
        <v>679.5</v>
      </c>
      <c r="B34">
        <f t="shared" si="6"/>
        <v>-8.0800000000000409</v>
      </c>
      <c r="C34">
        <f t="shared" si="2"/>
        <v>15.149999999999977</v>
      </c>
      <c r="D34">
        <f t="shared" si="3"/>
        <v>0</v>
      </c>
      <c r="E34">
        <f t="shared" si="4"/>
        <v>5.335714285714281</v>
      </c>
      <c r="F34">
        <f t="shared" si="5"/>
        <v>6.2671428571428498</v>
      </c>
      <c r="G34">
        <f t="shared" si="7"/>
        <v>0.85137907453840922</v>
      </c>
      <c r="H34">
        <f t="shared" si="1"/>
        <v>45.986210293031284</v>
      </c>
    </row>
    <row r="35" spans="1:8" x14ac:dyDescent="0.35">
      <c r="A35" s="19">
        <v>694.65</v>
      </c>
      <c r="B35">
        <f t="shared" si="6"/>
        <v>15.149999999999977</v>
      </c>
      <c r="C35">
        <f t="shared" si="2"/>
        <v>0</v>
      </c>
      <c r="D35">
        <f t="shared" si="3"/>
        <v>2.9599999999999227</v>
      </c>
      <c r="E35">
        <f t="shared" si="4"/>
        <v>5.335714285714281</v>
      </c>
      <c r="F35">
        <f t="shared" si="5"/>
        <v>6.4628571428571444</v>
      </c>
      <c r="G35">
        <f t="shared" si="7"/>
        <v>0.82559681697612641</v>
      </c>
      <c r="H35">
        <f t="shared" si="1"/>
        <v>45.223392662549912</v>
      </c>
    </row>
    <row r="36" spans="1:8" x14ac:dyDescent="0.35">
      <c r="A36" s="18">
        <v>691.69</v>
      </c>
      <c r="B36">
        <f t="shared" si="6"/>
        <v>-2.9599999999999227</v>
      </c>
      <c r="C36">
        <f t="shared" si="2"/>
        <v>0</v>
      </c>
      <c r="D36">
        <f t="shared" si="3"/>
        <v>3.6100000000000136</v>
      </c>
      <c r="E36">
        <f t="shared" si="4"/>
        <v>5.87357142857143</v>
      </c>
      <c r="F36">
        <f t="shared" si="5"/>
        <v>6.2050000000000001</v>
      </c>
      <c r="G36">
        <f t="shared" si="7"/>
        <v>0.94658685391965025</v>
      </c>
      <c r="H36">
        <f t="shared" si="1"/>
        <v>48.628030751034899</v>
      </c>
    </row>
    <row r="37" spans="1:8" x14ac:dyDescent="0.35">
      <c r="A37" s="19">
        <v>688.08</v>
      </c>
      <c r="B37">
        <f t="shared" si="6"/>
        <v>-3.6100000000000136</v>
      </c>
      <c r="C37">
        <f t="shared" si="2"/>
        <v>6.2199999999999136</v>
      </c>
      <c r="D37">
        <f t="shared" si="3"/>
        <v>0</v>
      </c>
      <c r="E37">
        <f t="shared" si="4"/>
        <v>5.9857142857142902</v>
      </c>
      <c r="F37">
        <f t="shared" si="5"/>
        <v>6.2050000000000001</v>
      </c>
      <c r="G37">
        <f t="shared" si="7"/>
        <v>0.96465983653735543</v>
      </c>
      <c r="H37">
        <f t="shared" si="1"/>
        <v>49.100603503837839</v>
      </c>
    </row>
    <row r="38" spans="1:8" x14ac:dyDescent="0.35">
      <c r="A38" s="18">
        <v>694.3</v>
      </c>
      <c r="B38">
        <f t="shared" si="6"/>
        <v>6.2199999999999136</v>
      </c>
      <c r="C38">
        <f t="shared" si="2"/>
        <v>0</v>
      </c>
      <c r="D38">
        <f t="shared" si="3"/>
        <v>12.689999999999941</v>
      </c>
      <c r="E38">
        <f t="shared" si="4"/>
        <v>5.9857142857142902</v>
      </c>
      <c r="F38">
        <f t="shared" si="5"/>
        <v>5.37214285714286</v>
      </c>
      <c r="G38">
        <f t="shared" si="7"/>
        <v>1.1142135354341181</v>
      </c>
      <c r="H38">
        <f t="shared" si="1"/>
        <v>52.70108798188793</v>
      </c>
    </row>
    <row r="39" spans="1:8" x14ac:dyDescent="0.35">
      <c r="A39" s="19">
        <v>681.61</v>
      </c>
      <c r="B39">
        <f t="shared" si="6"/>
        <v>-12.689999999999941</v>
      </c>
      <c r="C39">
        <f t="shared" si="2"/>
        <v>0</v>
      </c>
      <c r="D39">
        <f t="shared" si="3"/>
        <v>25.860000000000014</v>
      </c>
      <c r="E39">
        <f t="shared" si="4"/>
        <v>5.9857142857142902</v>
      </c>
      <c r="F39">
        <f t="shared" si="5"/>
        <v>4.2707142857142912</v>
      </c>
      <c r="G39">
        <f t="shared" si="7"/>
        <v>1.4015721692590726</v>
      </c>
      <c r="H39">
        <f t="shared" si="1"/>
        <v>58.360610070339142</v>
      </c>
    </row>
    <row r="40" spans="1:8" x14ac:dyDescent="0.35">
      <c r="A40" s="18">
        <v>655.75</v>
      </c>
      <c r="B40">
        <f t="shared" si="6"/>
        <v>-25.860000000000014</v>
      </c>
      <c r="C40">
        <f t="shared" si="2"/>
        <v>32.57000000000005</v>
      </c>
      <c r="D40">
        <f t="shared" si="3"/>
        <v>0</v>
      </c>
      <c r="E40">
        <f t="shared" si="4"/>
        <v>4.334285714285719</v>
      </c>
      <c r="F40">
        <f t="shared" si="5"/>
        <v>4.2707142857142912</v>
      </c>
      <c r="G40">
        <f t="shared" si="7"/>
        <v>1.0148854323465459</v>
      </c>
      <c r="H40">
        <f t="shared" si="1"/>
        <v>50.369386569270347</v>
      </c>
    </row>
    <row r="41" spans="1:8" x14ac:dyDescent="0.35">
      <c r="A41" s="19">
        <v>688.32</v>
      </c>
      <c r="B41">
        <f t="shared" si="6"/>
        <v>32.57000000000005</v>
      </c>
      <c r="C41">
        <f t="shared" si="2"/>
        <v>0</v>
      </c>
      <c r="D41">
        <f t="shared" si="3"/>
        <v>8.3100000000000591</v>
      </c>
      <c r="E41">
        <f t="shared" si="4"/>
        <v>4.334285714285719</v>
      </c>
      <c r="F41">
        <f t="shared" si="5"/>
        <v>4.9214285714285779</v>
      </c>
      <c r="G41">
        <f t="shared" si="7"/>
        <v>0.88069666182873707</v>
      </c>
      <c r="H41">
        <f t="shared" si="1"/>
        <v>46.828214230591136</v>
      </c>
    </row>
    <row r="42" spans="1:8" x14ac:dyDescent="0.35">
      <c r="A42" s="18">
        <v>680.01</v>
      </c>
      <c r="B42">
        <f t="shared" si="6"/>
        <v>-8.3100000000000591</v>
      </c>
      <c r="C42">
        <f t="shared" si="2"/>
        <v>0</v>
      </c>
      <c r="D42">
        <f t="shared" si="3"/>
        <v>1.7100000000000364</v>
      </c>
      <c r="E42">
        <f t="shared" si="4"/>
        <v>4.8928571428571512</v>
      </c>
      <c r="F42">
        <f t="shared" si="5"/>
        <v>4.7992857142857179</v>
      </c>
      <c r="G42">
        <f t="shared" si="7"/>
        <v>1.0194969489507377</v>
      </c>
      <c r="H42">
        <f t="shared" si="1"/>
        <v>50.482717960056036</v>
      </c>
    </row>
    <row r="43" spans="1:8" x14ac:dyDescent="0.35">
      <c r="A43" s="19">
        <v>678.3</v>
      </c>
      <c r="B43">
        <f t="shared" si="6"/>
        <v>-1.7100000000000364</v>
      </c>
      <c r="C43">
        <f t="shared" si="2"/>
        <v>0</v>
      </c>
      <c r="D43">
        <f t="shared" si="3"/>
        <v>4.42999999999995</v>
      </c>
      <c r="E43">
        <f t="shared" si="4"/>
        <v>5.3928571428571512</v>
      </c>
      <c r="F43">
        <f t="shared" si="5"/>
        <v>4.4828571428571502</v>
      </c>
      <c r="G43">
        <f t="shared" si="7"/>
        <v>1.2029955385595921</v>
      </c>
      <c r="H43">
        <f t="shared" si="1"/>
        <v>54.607261680891071</v>
      </c>
    </row>
    <row r="44" spans="1:8" x14ac:dyDescent="0.35">
      <c r="A44" s="18">
        <v>673.87</v>
      </c>
      <c r="B44">
        <f t="shared" si="6"/>
        <v>-4.42999999999995</v>
      </c>
      <c r="C44">
        <f t="shared" si="2"/>
        <v>3.3400000000000318</v>
      </c>
      <c r="D44">
        <f t="shared" si="3"/>
        <v>0</v>
      </c>
      <c r="E44">
        <f t="shared" si="4"/>
        <v>5.1542857142857201</v>
      </c>
      <c r="F44">
        <f t="shared" si="5"/>
        <v>4.5671428571428692</v>
      </c>
      <c r="G44">
        <f t="shared" si="7"/>
        <v>1.1285580231466983</v>
      </c>
      <c r="H44">
        <f t="shared" si="1"/>
        <v>53.019838354151318</v>
      </c>
    </row>
    <row r="45" spans="1:8" x14ac:dyDescent="0.35">
      <c r="A45" s="19">
        <v>677.21</v>
      </c>
      <c r="B45">
        <f t="shared" si="6"/>
        <v>3.3400000000000318</v>
      </c>
      <c r="C45">
        <f t="shared" si="2"/>
        <v>27.67999999999995</v>
      </c>
      <c r="D45">
        <f t="shared" si="3"/>
        <v>0</v>
      </c>
      <c r="E45">
        <f t="shared" si="4"/>
        <v>3.1771428571428664</v>
      </c>
      <c r="F45">
        <f t="shared" si="5"/>
        <v>5.8285714285714381</v>
      </c>
      <c r="G45">
        <f t="shared" si="7"/>
        <v>0.545098039215687</v>
      </c>
      <c r="H45">
        <f t="shared" si="1"/>
        <v>35.279187817258915</v>
      </c>
    </row>
    <row r="46" spans="1:8" x14ac:dyDescent="0.35">
      <c r="A46" s="18">
        <v>704.89</v>
      </c>
      <c r="B46">
        <f t="shared" si="6"/>
        <v>27.67999999999995</v>
      </c>
      <c r="C46">
        <f t="shared" si="2"/>
        <v>0</v>
      </c>
      <c r="D46">
        <f t="shared" si="3"/>
        <v>25.509999999999991</v>
      </c>
      <c r="E46">
        <f t="shared" si="4"/>
        <v>4.9664285714285858</v>
      </c>
      <c r="F46">
        <f t="shared" si="5"/>
        <v>4.0064285714285814</v>
      </c>
      <c r="G46">
        <f t="shared" si="7"/>
        <v>1.2396149046175793</v>
      </c>
      <c r="H46">
        <f t="shared" si="1"/>
        <v>55.349466645438639</v>
      </c>
    </row>
    <row r="47" spans="1:8" x14ac:dyDescent="0.35">
      <c r="A47" s="19">
        <v>679.38</v>
      </c>
      <c r="B47">
        <f t="shared" si="6"/>
        <v>-25.509999999999991</v>
      </c>
      <c r="C47">
        <f t="shared" si="2"/>
        <v>0</v>
      </c>
      <c r="D47">
        <f t="shared" si="3"/>
        <v>2.6599999999999682</v>
      </c>
      <c r="E47">
        <f t="shared" si="4"/>
        <v>45.188571428571443</v>
      </c>
      <c r="F47">
        <f t="shared" si="5"/>
        <v>3.8164285714285842</v>
      </c>
      <c r="G47">
        <f t="shared" si="7"/>
        <v>11.840539023020739</v>
      </c>
      <c r="H47">
        <f t="shared" si="1"/>
        <v>92.212164939437642</v>
      </c>
    </row>
    <row r="48" spans="1:8" x14ac:dyDescent="0.35">
      <c r="A48" s="18">
        <v>676.72</v>
      </c>
      <c r="B48">
        <f t="shared" si="6"/>
        <v>-2.6599999999999682</v>
      </c>
      <c r="C48">
        <f t="shared" si="2"/>
        <v>4.8899999999999864</v>
      </c>
      <c r="D48">
        <f t="shared" si="3"/>
        <v>0</v>
      </c>
      <c r="E48">
        <f t="shared" si="4"/>
        <v>44.83928571428573</v>
      </c>
      <c r="F48">
        <f t="shared" si="5"/>
        <v>5.033571428571439</v>
      </c>
      <c r="G48">
        <f t="shared" si="7"/>
        <v>8.9080459770114793</v>
      </c>
      <c r="H48">
        <f t="shared" si="1"/>
        <v>89.907192575406015</v>
      </c>
    </row>
    <row r="49" spans="1:8" x14ac:dyDescent="0.35">
      <c r="A49" s="19">
        <v>681.61</v>
      </c>
      <c r="B49">
        <f t="shared" si="6"/>
        <v>4.8899999999999864</v>
      </c>
      <c r="C49">
        <f t="shared" si="2"/>
        <v>0</v>
      </c>
      <c r="D49">
        <f t="shared" si="3"/>
        <v>5.7000000000000455</v>
      </c>
      <c r="E49">
        <f t="shared" si="4"/>
        <v>48.145000000000017</v>
      </c>
      <c r="F49">
        <f t="shared" si="5"/>
        <v>4.626428571428578</v>
      </c>
      <c r="G49">
        <f t="shared" si="7"/>
        <v>10.406515362050321</v>
      </c>
      <c r="H49">
        <f t="shared" si="1"/>
        <v>91.233080671358948</v>
      </c>
    </row>
    <row r="50" spans="1:8" x14ac:dyDescent="0.35">
      <c r="A50" s="18">
        <v>675.91</v>
      </c>
      <c r="B50">
        <f t="shared" si="6"/>
        <v>-5.7000000000000455</v>
      </c>
      <c r="C50">
        <f t="shared" si="2"/>
        <v>7.5300000000000864</v>
      </c>
      <c r="D50">
        <f t="shared" si="3"/>
        <v>0</v>
      </c>
      <c r="E50">
        <f t="shared" si="4"/>
        <v>47.607142857142868</v>
      </c>
      <c r="F50">
        <f t="shared" si="5"/>
        <v>5.1771428571428668</v>
      </c>
      <c r="G50">
        <f t="shared" si="7"/>
        <v>9.1956401766004259</v>
      </c>
      <c r="H50">
        <f t="shared" si="1"/>
        <v>90.191886113291275</v>
      </c>
    </row>
    <row r="51" spans="1:8" x14ac:dyDescent="0.35">
      <c r="A51" s="19">
        <v>683.44</v>
      </c>
      <c r="B51">
        <f t="shared" si="6"/>
        <v>7.5300000000000864</v>
      </c>
      <c r="C51">
        <f t="shared" si="2"/>
        <v>7.7899999999999636</v>
      </c>
      <c r="D51">
        <f t="shared" si="3"/>
        <v>0</v>
      </c>
      <c r="E51">
        <f t="shared" si="4"/>
        <v>47.050714285714299</v>
      </c>
      <c r="F51">
        <f t="shared" si="5"/>
        <v>6.9442857142857246</v>
      </c>
      <c r="G51">
        <f t="shared" si="7"/>
        <v>6.7754577247479864</v>
      </c>
      <c r="H51">
        <f t="shared" si="1"/>
        <v>87.139020808805043</v>
      </c>
    </row>
    <row r="52" spans="1:8" x14ac:dyDescent="0.35">
      <c r="A52" s="18">
        <v>691.23</v>
      </c>
      <c r="B52">
        <f t="shared" si="6"/>
        <v>7.7899999999999636</v>
      </c>
      <c r="C52">
        <f t="shared" si="2"/>
        <v>0</v>
      </c>
      <c r="D52">
        <f t="shared" si="3"/>
        <v>1.0299999999999727</v>
      </c>
      <c r="E52">
        <f t="shared" si="4"/>
        <v>47.050714285714299</v>
      </c>
      <c r="F52">
        <f t="shared" si="5"/>
        <v>7.0564285714285928</v>
      </c>
      <c r="G52">
        <f t="shared" si="7"/>
        <v>6.6677801396902341</v>
      </c>
      <c r="H52">
        <f t="shared" si="1"/>
        <v>86.958415841584127</v>
      </c>
    </row>
    <row r="53" spans="1:8" x14ac:dyDescent="0.35">
      <c r="A53" s="19">
        <v>690.2</v>
      </c>
      <c r="B53">
        <f t="shared" si="6"/>
        <v>-1.0299999999999727</v>
      </c>
      <c r="C53">
        <f t="shared" si="2"/>
        <v>0</v>
      </c>
      <c r="D53">
        <f t="shared" si="3"/>
        <v>10.440000000000055</v>
      </c>
      <c r="E53">
        <f t="shared" si="4"/>
        <v>47.788571428571451</v>
      </c>
      <c r="F53">
        <f t="shared" si="5"/>
        <v>6.3107142857143037</v>
      </c>
      <c r="G53">
        <f t="shared" si="7"/>
        <v>7.5726089417090936</v>
      </c>
      <c r="H53">
        <f t="shared" si="1"/>
        <v>88.334939727221098</v>
      </c>
    </row>
    <row r="54" spans="1:8" x14ac:dyDescent="0.35">
      <c r="A54" s="18">
        <v>679.76</v>
      </c>
      <c r="B54">
        <f t="shared" si="6"/>
        <v>-10.440000000000055</v>
      </c>
      <c r="C54">
        <f t="shared" si="2"/>
        <v>9.4500000000000455</v>
      </c>
      <c r="D54">
        <f t="shared" si="3"/>
        <v>0</v>
      </c>
      <c r="E54">
        <f t="shared" si="4"/>
        <v>47.113571428571447</v>
      </c>
      <c r="F54">
        <f t="shared" si="5"/>
        <v>7.6564285714285996</v>
      </c>
      <c r="G54">
        <f t="shared" si="7"/>
        <v>6.1534658083776268</v>
      </c>
      <c r="H54">
        <f t="shared" si="1"/>
        <v>86.020762148204142</v>
      </c>
    </row>
    <row r="55" spans="1:8" x14ac:dyDescent="0.35">
      <c r="A55" s="19">
        <v>689.21</v>
      </c>
      <c r="B55">
        <f t="shared" si="6"/>
        <v>9.4500000000000455</v>
      </c>
      <c r="C55">
        <f t="shared" si="2"/>
        <v>0</v>
      </c>
      <c r="D55">
        <f t="shared" si="3"/>
        <v>17.420000000000073</v>
      </c>
      <c r="E55">
        <f t="shared" si="4"/>
        <v>48.686428571428607</v>
      </c>
      <c r="F55">
        <f t="shared" si="5"/>
        <v>6.4121428571428805</v>
      </c>
      <c r="G55">
        <f t="shared" si="7"/>
        <v>7.5928483903308237</v>
      </c>
      <c r="H55">
        <f t="shared" si="1"/>
        <v>88.362415411340692</v>
      </c>
    </row>
    <row r="56" spans="1:8" x14ac:dyDescent="0.35">
      <c r="A56" s="18">
        <v>671.79</v>
      </c>
      <c r="B56">
        <f t="shared" si="6"/>
        <v>-17.420000000000073</v>
      </c>
      <c r="C56">
        <f t="shared" si="2"/>
        <v>7.82000000000005</v>
      </c>
      <c r="D56">
        <f t="shared" si="3"/>
        <v>0</v>
      </c>
      <c r="E56">
        <f t="shared" si="4"/>
        <v>48.127857142857174</v>
      </c>
      <c r="F56">
        <f t="shared" si="5"/>
        <v>7.5492857142857428</v>
      </c>
      <c r="G56">
        <f t="shared" si="7"/>
        <v>6.3751537515374954</v>
      </c>
      <c r="H56">
        <f t="shared" si="1"/>
        <v>86.440960640426908</v>
      </c>
    </row>
    <row r="57" spans="1:8" x14ac:dyDescent="0.35">
      <c r="A57" s="19">
        <v>679.61</v>
      </c>
      <c r="B57">
        <f t="shared" si="6"/>
        <v>7.82000000000005</v>
      </c>
      <c r="C57">
        <f t="shared" si="2"/>
        <v>7</v>
      </c>
      <c r="D57">
        <f t="shared" si="3"/>
        <v>0</v>
      </c>
      <c r="E57">
        <f t="shared" si="4"/>
        <v>47.627857142857174</v>
      </c>
      <c r="F57">
        <f t="shared" si="5"/>
        <v>8.2671428571428827</v>
      </c>
      <c r="G57">
        <f t="shared" si="7"/>
        <v>5.7611024710558008</v>
      </c>
      <c r="H57">
        <f t="shared" si="1"/>
        <v>85.20951273433603</v>
      </c>
    </row>
    <row r="58" spans="1:8" x14ac:dyDescent="0.35">
      <c r="A58" s="18">
        <v>686.61</v>
      </c>
      <c r="B58">
        <f t="shared" si="6"/>
        <v>7</v>
      </c>
      <c r="C58">
        <f t="shared" si="2"/>
        <v>0</v>
      </c>
      <c r="D58">
        <f t="shared" si="3"/>
        <v>1.1800000000000637</v>
      </c>
      <c r="E58">
        <f t="shared" si="4"/>
        <v>48.180714285714316</v>
      </c>
      <c r="F58">
        <f t="shared" si="5"/>
        <v>8.1828571428571628</v>
      </c>
      <c r="G58">
        <f t="shared" si="7"/>
        <v>5.88800628491619</v>
      </c>
      <c r="H58">
        <f t="shared" si="1"/>
        <v>85.482010923975693</v>
      </c>
    </row>
    <row r="59" spans="1:8" x14ac:dyDescent="0.35">
      <c r="A59" s="19">
        <v>685.43</v>
      </c>
      <c r="B59">
        <f t="shared" si="6"/>
        <v>-1.1800000000000637</v>
      </c>
      <c r="C59">
        <f t="shared" si="2"/>
        <v>0</v>
      </c>
      <c r="D59">
        <f t="shared" si="3"/>
        <v>17.659999999999968</v>
      </c>
      <c r="E59">
        <f t="shared" si="4"/>
        <v>50.137857142857165</v>
      </c>
      <c r="F59">
        <f t="shared" si="5"/>
        <v>6.9214285714285939</v>
      </c>
      <c r="G59">
        <f t="shared" si="7"/>
        <v>7.2438596491227862</v>
      </c>
      <c r="H59">
        <f t="shared" si="1"/>
        <v>87.869759523302804</v>
      </c>
    </row>
    <row r="60" spans="1:8" x14ac:dyDescent="0.35">
      <c r="A60" s="18">
        <v>667.77</v>
      </c>
      <c r="B60">
        <f t="shared" si="6"/>
        <v>-17.659999999999968</v>
      </c>
      <c r="C60">
        <f t="shared" si="2"/>
        <v>25.050000000000068</v>
      </c>
      <c r="D60">
        <f t="shared" si="3"/>
        <v>0</v>
      </c>
      <c r="E60">
        <f t="shared" si="4"/>
        <v>48.348571428571447</v>
      </c>
      <c r="F60">
        <f t="shared" si="5"/>
        <v>8.4257142857143048</v>
      </c>
      <c r="G60">
        <f t="shared" si="7"/>
        <v>5.7382163445235568</v>
      </c>
      <c r="H60">
        <f t="shared" si="1"/>
        <v>85.159277338835466</v>
      </c>
    </row>
    <row r="61" spans="1:8" x14ac:dyDescent="0.35">
      <c r="A61" s="19">
        <v>692.82</v>
      </c>
      <c r="B61">
        <f t="shared" si="6"/>
        <v>25.050000000000068</v>
      </c>
      <c r="C61">
        <f t="shared" si="2"/>
        <v>563.11</v>
      </c>
      <c r="D61">
        <f t="shared" si="3"/>
        <v>0</v>
      </c>
      <c r="E61">
        <f t="shared" si="4"/>
        <v>8.6628571428571579</v>
      </c>
      <c r="F61">
        <f t="shared" si="5"/>
        <v>8.4257142857143048</v>
      </c>
      <c r="G61">
        <f t="shared" si="7"/>
        <v>1.0281451339437091</v>
      </c>
      <c r="H61">
        <f t="shared" si="1"/>
        <v>50.693863902357442</v>
      </c>
    </row>
    <row r="62" spans="1:8" x14ac:dyDescent="0.35">
      <c r="A62" s="18">
        <v>1255.93</v>
      </c>
      <c r="B62">
        <f t="shared" si="6"/>
        <v>563.11</v>
      </c>
      <c r="C62">
        <f t="shared" si="2"/>
        <v>0</v>
      </c>
      <c r="D62">
        <f t="shared" si="3"/>
        <v>17.039999999999964</v>
      </c>
      <c r="E62">
        <f t="shared" si="4"/>
        <v>8.6628571428571579</v>
      </c>
      <c r="F62">
        <f t="shared" si="5"/>
        <v>9.0985714285714518</v>
      </c>
      <c r="G62">
        <f t="shared" si="7"/>
        <v>0.952111791490029</v>
      </c>
      <c r="H62">
        <f t="shared" si="1"/>
        <v>48.773425561006974</v>
      </c>
    </row>
    <row r="63" spans="1:8" x14ac:dyDescent="0.35">
      <c r="A63" s="19">
        <v>1238.8900000000001</v>
      </c>
      <c r="B63">
        <f t="shared" si="6"/>
        <v>-17.039999999999964</v>
      </c>
      <c r="C63">
        <f t="shared" si="2"/>
        <v>46.279999999999973</v>
      </c>
      <c r="D63">
        <f t="shared" si="3"/>
        <v>0</v>
      </c>
      <c r="E63">
        <f t="shared" si="4"/>
        <v>6.4471428571428726</v>
      </c>
      <c r="F63">
        <f t="shared" si="5"/>
        <v>9.0985714285714518</v>
      </c>
      <c r="G63">
        <f t="shared" si="7"/>
        <v>0.70858847542785353</v>
      </c>
      <c r="H63">
        <f t="shared" si="1"/>
        <v>41.472155853703356</v>
      </c>
    </row>
    <row r="64" spans="1:8" x14ac:dyDescent="0.35">
      <c r="A64" s="18">
        <v>1285.17</v>
      </c>
      <c r="B64">
        <f t="shared" si="6"/>
        <v>46.279999999999973</v>
      </c>
      <c r="C64">
        <f t="shared" si="2"/>
        <v>0</v>
      </c>
      <c r="D64">
        <f t="shared" si="3"/>
        <v>7.7100000000000364</v>
      </c>
      <c r="E64">
        <f t="shared" si="4"/>
        <v>6.9757142857143082</v>
      </c>
      <c r="F64">
        <f t="shared" si="5"/>
        <v>8.5478571428571648</v>
      </c>
      <c r="G64">
        <f t="shared" si="7"/>
        <v>0.8160775465864466</v>
      </c>
      <c r="H64">
        <f t="shared" si="1"/>
        <v>44.936272028712118</v>
      </c>
    </row>
    <row r="65" spans="1:8" x14ac:dyDescent="0.35">
      <c r="A65" s="19">
        <v>1277.46</v>
      </c>
      <c r="B65">
        <f t="shared" si="6"/>
        <v>-7.7100000000000364</v>
      </c>
      <c r="C65">
        <f t="shared" si="2"/>
        <v>0</v>
      </c>
      <c r="D65">
        <f t="shared" si="3"/>
        <v>24.740000000000009</v>
      </c>
      <c r="E65">
        <f t="shared" si="4"/>
        <v>8.2900000000000116</v>
      </c>
      <c r="F65">
        <f t="shared" si="5"/>
        <v>6.7807142857143061</v>
      </c>
      <c r="G65">
        <f t="shared" si="7"/>
        <v>1.2225850626777606</v>
      </c>
      <c r="H65">
        <f t="shared" si="1"/>
        <v>55.00734631973075</v>
      </c>
    </row>
    <row r="66" spans="1:8" x14ac:dyDescent="0.35">
      <c r="A66" s="18">
        <v>1252.72</v>
      </c>
      <c r="B66">
        <f t="shared" si="6"/>
        <v>-24.740000000000009</v>
      </c>
      <c r="C66">
        <f t="shared" si="2"/>
        <v>0</v>
      </c>
      <c r="D66">
        <f t="shared" si="3"/>
        <v>2.6000000000001364</v>
      </c>
      <c r="E66">
        <f t="shared" si="4"/>
        <v>9.2250000000000227</v>
      </c>
      <c r="F66">
        <f t="shared" si="5"/>
        <v>6.5950000000000113</v>
      </c>
      <c r="G66">
        <f t="shared" si="7"/>
        <v>1.3987869598180451</v>
      </c>
      <c r="H66">
        <f t="shared" ref="H66:H129" si="8">100 - (100 / (1 + G66))</f>
        <v>58.312262958280677</v>
      </c>
    </row>
    <row r="67" spans="1:8" x14ac:dyDescent="0.35">
      <c r="A67" s="19">
        <v>1250.1199999999999</v>
      </c>
      <c r="B67">
        <f t="shared" si="6"/>
        <v>-2.6000000000001364</v>
      </c>
      <c r="C67">
        <f t="shared" ref="C67:C130" si="9">IF(B68 &gt; 0, B68, 0)</f>
        <v>10.330000000000155</v>
      </c>
      <c r="D67">
        <f t="shared" ref="D67:D130" si="10">IF(B68 &lt; 0, ABS(B68), 0)</f>
        <v>0</v>
      </c>
      <c r="E67">
        <f t="shared" ref="E67:E130" si="11">AVERAGE(C68:C81)</f>
        <v>8.4871428571428691</v>
      </c>
      <c r="F67">
        <f t="shared" ref="F67:F130" si="12">AVERAGE(D68:D81)</f>
        <v>7.908571428571447</v>
      </c>
      <c r="G67">
        <f t="shared" si="7"/>
        <v>1.073157514450866</v>
      </c>
      <c r="H67">
        <f t="shared" si="8"/>
        <v>51.764398361941254</v>
      </c>
    </row>
    <row r="68" spans="1:8" x14ac:dyDescent="0.35">
      <c r="A68" s="18">
        <v>1260.45</v>
      </c>
      <c r="B68">
        <f t="shared" ref="B68:B131" si="13">A68-A67</f>
        <v>10.330000000000155</v>
      </c>
      <c r="C68">
        <f t="shared" si="9"/>
        <v>0</v>
      </c>
      <c r="D68">
        <f t="shared" si="10"/>
        <v>18.840000000000146</v>
      </c>
      <c r="E68">
        <f t="shared" si="11"/>
        <v>8.4871428571428691</v>
      </c>
      <c r="F68">
        <f t="shared" si="12"/>
        <v>7.3557142857142868</v>
      </c>
      <c r="G68">
        <f t="shared" si="7"/>
        <v>1.1538162750048568</v>
      </c>
      <c r="H68">
        <f t="shared" si="8"/>
        <v>53.570784490532048</v>
      </c>
    </row>
    <row r="69" spans="1:8" x14ac:dyDescent="0.35">
      <c r="A69" s="19">
        <v>1241.6099999999999</v>
      </c>
      <c r="B69">
        <f t="shared" si="13"/>
        <v>-18.840000000000146</v>
      </c>
      <c r="C69">
        <f t="shared" si="9"/>
        <v>22.020000000000209</v>
      </c>
      <c r="D69">
        <f t="shared" si="10"/>
        <v>0</v>
      </c>
      <c r="E69">
        <f t="shared" si="11"/>
        <v>6.914285714285711</v>
      </c>
      <c r="F69">
        <f t="shared" si="12"/>
        <v>8.838571428571429</v>
      </c>
      <c r="G69">
        <f t="shared" si="7"/>
        <v>0.78228543720704669</v>
      </c>
      <c r="H69">
        <f t="shared" si="8"/>
        <v>43.892264441824601</v>
      </c>
    </row>
    <row r="70" spans="1:8" x14ac:dyDescent="0.35">
      <c r="A70" s="18">
        <v>1263.6300000000001</v>
      </c>
      <c r="B70">
        <f t="shared" si="13"/>
        <v>22.020000000000209</v>
      </c>
      <c r="C70">
        <f t="shared" si="9"/>
        <v>0</v>
      </c>
      <c r="D70">
        <f t="shared" si="10"/>
        <v>15.920000000000073</v>
      </c>
      <c r="E70">
        <f t="shared" si="11"/>
        <v>8.0764285714285666</v>
      </c>
      <c r="F70">
        <f t="shared" si="12"/>
        <v>7.7014285714285666</v>
      </c>
      <c r="G70">
        <f t="shared" si="7"/>
        <v>1.0486922648859209</v>
      </c>
      <c r="H70">
        <f t="shared" si="8"/>
        <v>51.188374303952195</v>
      </c>
    </row>
    <row r="71" spans="1:8" x14ac:dyDescent="0.35">
      <c r="A71" s="19">
        <v>1247.71</v>
      </c>
      <c r="B71">
        <f t="shared" si="13"/>
        <v>-15.920000000000073</v>
      </c>
      <c r="C71">
        <f t="shared" si="9"/>
        <v>0</v>
      </c>
      <c r="D71">
        <f t="shared" si="10"/>
        <v>10.049999999999955</v>
      </c>
      <c r="E71">
        <f t="shared" si="11"/>
        <v>8.0764285714285666</v>
      </c>
      <c r="F71">
        <f t="shared" si="12"/>
        <v>8.86642857142858</v>
      </c>
      <c r="G71">
        <f t="shared" si="7"/>
        <v>0.91089986304680437</v>
      </c>
      <c r="H71">
        <f t="shared" si="8"/>
        <v>47.668634064080905</v>
      </c>
    </row>
    <row r="72" spans="1:8" x14ac:dyDescent="0.35">
      <c r="A72" s="18">
        <v>1237.6600000000001</v>
      </c>
      <c r="B72">
        <f t="shared" si="13"/>
        <v>-10.049999999999955</v>
      </c>
      <c r="C72">
        <f t="shared" si="9"/>
        <v>7.7400000000000091</v>
      </c>
      <c r="D72">
        <f t="shared" si="10"/>
        <v>0</v>
      </c>
      <c r="E72">
        <f t="shared" si="11"/>
        <v>8.8092857142857088</v>
      </c>
      <c r="F72">
        <f t="shared" si="12"/>
        <v>8.86642857142858</v>
      </c>
      <c r="G72">
        <f t="shared" si="7"/>
        <v>0.99355514380085241</v>
      </c>
      <c r="H72">
        <f t="shared" si="8"/>
        <v>49.838357714378041</v>
      </c>
    </row>
    <row r="73" spans="1:8" x14ac:dyDescent="0.35">
      <c r="A73" s="19">
        <v>1245.4000000000001</v>
      </c>
      <c r="B73">
        <f t="shared" si="13"/>
        <v>7.7400000000000091</v>
      </c>
      <c r="C73">
        <f t="shared" si="9"/>
        <v>27.399999999999864</v>
      </c>
      <c r="D73">
        <f t="shared" si="10"/>
        <v>0</v>
      </c>
      <c r="E73">
        <f t="shared" si="11"/>
        <v>7.2750000000000101</v>
      </c>
      <c r="F73">
        <f t="shared" si="12"/>
        <v>8.86642857142858</v>
      </c>
      <c r="G73">
        <f t="shared" si="7"/>
        <v>0.82051075485378266</v>
      </c>
      <c r="H73">
        <f t="shared" si="8"/>
        <v>45.070360208868053</v>
      </c>
    </row>
    <row r="74" spans="1:8" x14ac:dyDescent="0.35">
      <c r="A74" s="18">
        <v>1272.8</v>
      </c>
      <c r="B74">
        <f t="shared" si="13"/>
        <v>27.399999999999864</v>
      </c>
      <c r="C74">
        <f t="shared" si="9"/>
        <v>0</v>
      </c>
      <c r="D74">
        <f t="shared" si="10"/>
        <v>21.059999999999945</v>
      </c>
      <c r="E74">
        <f t="shared" si="11"/>
        <v>7.2750000000000101</v>
      </c>
      <c r="F74">
        <f t="shared" si="12"/>
        <v>7.3664285714285791</v>
      </c>
      <c r="G74">
        <f t="shared" si="7"/>
        <v>0.98758848055851867</v>
      </c>
      <c r="H74">
        <f t="shared" si="8"/>
        <v>49.6877744170163</v>
      </c>
    </row>
    <row r="75" spans="1:8" x14ac:dyDescent="0.35">
      <c r="A75" s="19">
        <v>1251.74</v>
      </c>
      <c r="B75">
        <f t="shared" si="13"/>
        <v>-21.059999999999945</v>
      </c>
      <c r="C75">
        <f t="shared" si="9"/>
        <v>7.5099999999999909</v>
      </c>
      <c r="D75">
        <f t="shared" si="10"/>
        <v>0</v>
      </c>
      <c r="E75">
        <f t="shared" si="11"/>
        <v>6.7385714285714391</v>
      </c>
      <c r="F75">
        <f t="shared" si="12"/>
        <v>8.2814285714285756</v>
      </c>
      <c r="G75">
        <f t="shared" si="7"/>
        <v>0.81369673969294554</v>
      </c>
      <c r="H75">
        <f t="shared" si="8"/>
        <v>44.863990869317128</v>
      </c>
    </row>
    <row r="76" spans="1:8" x14ac:dyDescent="0.35">
      <c r="A76" s="18">
        <v>1259.25</v>
      </c>
      <c r="B76">
        <f t="shared" si="13"/>
        <v>7.5099999999999909</v>
      </c>
      <c r="C76">
        <f t="shared" si="9"/>
        <v>0</v>
      </c>
      <c r="D76">
        <f t="shared" si="10"/>
        <v>26.460000000000036</v>
      </c>
      <c r="E76">
        <f t="shared" si="11"/>
        <v>6.7385714285714391</v>
      </c>
      <c r="F76">
        <f t="shared" si="12"/>
        <v>6.6578571428571456</v>
      </c>
      <c r="G76">
        <f t="shared" si="7"/>
        <v>1.012123162750779</v>
      </c>
      <c r="H76">
        <f t="shared" si="8"/>
        <v>50.301252999200244</v>
      </c>
    </row>
    <row r="77" spans="1:8" x14ac:dyDescent="0.35">
      <c r="A77" s="19">
        <v>1232.79</v>
      </c>
      <c r="B77">
        <f t="shared" si="13"/>
        <v>-26.460000000000036</v>
      </c>
      <c r="C77">
        <f t="shared" si="9"/>
        <v>15.259999999999991</v>
      </c>
      <c r="D77">
        <f t="shared" si="10"/>
        <v>0</v>
      </c>
      <c r="E77">
        <f t="shared" si="11"/>
        <v>7.5357142857142856</v>
      </c>
      <c r="F77">
        <f t="shared" si="12"/>
        <v>6.6578571428571456</v>
      </c>
      <c r="G77">
        <f t="shared" si="7"/>
        <v>1.1318528054929724</v>
      </c>
      <c r="H77">
        <f t="shared" si="8"/>
        <v>53.092446278496283</v>
      </c>
    </row>
    <row r="78" spans="1:8" x14ac:dyDescent="0.35">
      <c r="A78" s="18">
        <v>1248.05</v>
      </c>
      <c r="B78">
        <f t="shared" si="13"/>
        <v>15.259999999999991</v>
      </c>
      <c r="C78">
        <f t="shared" si="9"/>
        <v>7.4000000000000909</v>
      </c>
      <c r="D78">
        <f t="shared" si="10"/>
        <v>0</v>
      </c>
      <c r="E78">
        <f t="shared" si="11"/>
        <v>7.1164285714285631</v>
      </c>
      <c r="F78">
        <f t="shared" si="12"/>
        <v>6.6578571428571456</v>
      </c>
      <c r="G78">
        <f t="shared" si="7"/>
        <v>1.0688767299645945</v>
      </c>
      <c r="H78">
        <f t="shared" si="8"/>
        <v>51.664592408214027</v>
      </c>
    </row>
    <row r="79" spans="1:8" x14ac:dyDescent="0.35">
      <c r="A79" s="19">
        <v>1255.45</v>
      </c>
      <c r="B79">
        <f t="shared" si="13"/>
        <v>7.4000000000000909</v>
      </c>
      <c r="C79">
        <f t="shared" si="9"/>
        <v>18.399999999999864</v>
      </c>
      <c r="D79">
        <f t="shared" si="10"/>
        <v>0</v>
      </c>
      <c r="E79">
        <f t="shared" si="11"/>
        <v>7.1400000000000023</v>
      </c>
      <c r="F79">
        <f t="shared" si="12"/>
        <v>6.6578571428571456</v>
      </c>
      <c r="G79">
        <f t="shared" si="7"/>
        <v>1.0724171226263275</v>
      </c>
      <c r="H79">
        <f t="shared" si="8"/>
        <v>51.747165708961013</v>
      </c>
    </row>
    <row r="80" spans="1:8" x14ac:dyDescent="0.35">
      <c r="A80" s="18">
        <v>1273.8499999999999</v>
      </c>
      <c r="B80">
        <f t="shared" si="13"/>
        <v>18.399999999999864</v>
      </c>
      <c r="C80">
        <f t="shared" si="9"/>
        <v>13.090000000000146</v>
      </c>
      <c r="D80">
        <f t="shared" si="10"/>
        <v>0</v>
      </c>
      <c r="E80">
        <f t="shared" si="11"/>
        <v>6.2049999999999921</v>
      </c>
      <c r="F80">
        <f t="shared" si="12"/>
        <v>8.6507142857142778</v>
      </c>
      <c r="G80">
        <f t="shared" si="7"/>
        <v>0.71728180992486146</v>
      </c>
      <c r="H80">
        <f t="shared" si="8"/>
        <v>41.768439273007012</v>
      </c>
    </row>
    <row r="81" spans="1:8" x14ac:dyDescent="0.35">
      <c r="A81" s="19">
        <v>1286.94</v>
      </c>
      <c r="B81">
        <f t="shared" si="13"/>
        <v>13.090000000000146</v>
      </c>
      <c r="C81">
        <f t="shared" si="9"/>
        <v>0</v>
      </c>
      <c r="D81">
        <f t="shared" si="10"/>
        <v>18.3900000000001</v>
      </c>
      <c r="E81">
        <f t="shared" si="11"/>
        <v>6.7257142857142753</v>
      </c>
      <c r="F81">
        <f t="shared" si="12"/>
        <v>7.337142857142843</v>
      </c>
      <c r="G81">
        <f t="shared" ref="G81:G144" si="14">E81/F81</f>
        <v>0.91666666666666707</v>
      </c>
      <c r="H81">
        <f t="shared" si="8"/>
        <v>47.826086956521749</v>
      </c>
    </row>
    <row r="82" spans="1:8" x14ac:dyDescent="0.35">
      <c r="A82" s="18">
        <v>1268.55</v>
      </c>
      <c r="B82">
        <f t="shared" si="13"/>
        <v>-18.3900000000001</v>
      </c>
      <c r="C82">
        <f t="shared" si="9"/>
        <v>0</v>
      </c>
      <c r="D82">
        <f t="shared" si="10"/>
        <v>11.099999999999909</v>
      </c>
      <c r="E82">
        <f t="shared" si="11"/>
        <v>7.5307142857142741</v>
      </c>
      <c r="F82">
        <f t="shared" si="12"/>
        <v>6.5442857142857065</v>
      </c>
      <c r="G82">
        <f t="shared" si="14"/>
        <v>1.1507312813796111</v>
      </c>
      <c r="H82">
        <f t="shared" si="8"/>
        <v>53.504186754630794</v>
      </c>
    </row>
    <row r="83" spans="1:8" x14ac:dyDescent="0.35">
      <c r="A83" s="19">
        <v>1257.45</v>
      </c>
      <c r="B83">
        <f t="shared" si="13"/>
        <v>-11.099999999999909</v>
      </c>
      <c r="C83">
        <f t="shared" si="9"/>
        <v>0</v>
      </c>
      <c r="D83">
        <f t="shared" si="10"/>
        <v>20.759999999999991</v>
      </c>
      <c r="E83">
        <f t="shared" si="11"/>
        <v>7.5307142857142741</v>
      </c>
      <c r="F83">
        <f t="shared" si="12"/>
        <v>6.7978571428571319</v>
      </c>
      <c r="G83">
        <f t="shared" si="14"/>
        <v>1.1078070820636756</v>
      </c>
      <c r="H83">
        <f t="shared" si="8"/>
        <v>52.557328015952145</v>
      </c>
    </row>
    <row r="84" spans="1:8" x14ac:dyDescent="0.35">
      <c r="A84" s="18">
        <v>1236.69</v>
      </c>
      <c r="B84">
        <f t="shared" si="13"/>
        <v>-20.759999999999991</v>
      </c>
      <c r="C84">
        <f t="shared" si="9"/>
        <v>16.269999999999982</v>
      </c>
      <c r="D84">
        <f t="shared" si="10"/>
        <v>0</v>
      </c>
      <c r="E84">
        <f t="shared" si="11"/>
        <v>7.2235714285714199</v>
      </c>
      <c r="F84">
        <f t="shared" si="12"/>
        <v>6.7978571428571319</v>
      </c>
      <c r="G84">
        <f t="shared" si="14"/>
        <v>1.0626247767153518</v>
      </c>
      <c r="H84">
        <f t="shared" si="8"/>
        <v>51.518084564442191</v>
      </c>
    </row>
    <row r="85" spans="1:8" x14ac:dyDescent="0.35">
      <c r="A85" s="19">
        <v>1252.96</v>
      </c>
      <c r="B85">
        <f t="shared" si="13"/>
        <v>16.269999999999982</v>
      </c>
      <c r="C85">
        <f t="shared" si="9"/>
        <v>0</v>
      </c>
      <c r="D85">
        <f t="shared" si="10"/>
        <v>26.360000000000127</v>
      </c>
      <c r="E85">
        <f t="shared" si="11"/>
        <v>7.2235714285714199</v>
      </c>
      <c r="F85">
        <f t="shared" si="12"/>
        <v>5.626428571428554</v>
      </c>
      <c r="G85">
        <f t="shared" si="14"/>
        <v>1.2838644153865708</v>
      </c>
      <c r="H85">
        <f t="shared" si="8"/>
        <v>56.214563646470303</v>
      </c>
    </row>
    <row r="86" spans="1:8" x14ac:dyDescent="0.35">
      <c r="A86" s="18">
        <v>1226.5999999999999</v>
      </c>
      <c r="B86">
        <f t="shared" si="13"/>
        <v>-26.360000000000127</v>
      </c>
      <c r="C86">
        <f t="shared" si="9"/>
        <v>18</v>
      </c>
      <c r="D86">
        <f t="shared" si="10"/>
        <v>0</v>
      </c>
      <c r="E86">
        <f t="shared" si="11"/>
        <v>5.9378571428571343</v>
      </c>
      <c r="F86">
        <f t="shared" si="12"/>
        <v>6.8757142857142686</v>
      </c>
      <c r="G86">
        <f t="shared" si="14"/>
        <v>0.86359858715977655</v>
      </c>
      <c r="H86">
        <f t="shared" si="8"/>
        <v>46.340375717710039</v>
      </c>
    </row>
    <row r="87" spans="1:8" x14ac:dyDescent="0.35">
      <c r="A87" s="19">
        <v>1244.5999999999999</v>
      </c>
      <c r="B87">
        <f t="shared" si="13"/>
        <v>18</v>
      </c>
      <c r="C87">
        <f t="shared" si="9"/>
        <v>5.9200000000000728</v>
      </c>
      <c r="D87">
        <f t="shared" si="10"/>
        <v>0</v>
      </c>
      <c r="E87">
        <f t="shared" si="11"/>
        <v>6.9499999999999806</v>
      </c>
      <c r="F87">
        <f t="shared" si="12"/>
        <v>6.8757142857142686</v>
      </c>
      <c r="G87">
        <f t="shared" si="14"/>
        <v>1.0108040723041758</v>
      </c>
      <c r="H87">
        <f t="shared" si="8"/>
        <v>50.268650547633797</v>
      </c>
    </row>
    <row r="88" spans="1:8" x14ac:dyDescent="0.35">
      <c r="A88" s="18">
        <v>1250.52</v>
      </c>
      <c r="B88">
        <f t="shared" si="13"/>
        <v>5.9200000000000728</v>
      </c>
      <c r="C88">
        <f t="shared" si="9"/>
        <v>0</v>
      </c>
      <c r="D88">
        <f t="shared" si="10"/>
        <v>5.999999999994543E-2</v>
      </c>
      <c r="E88">
        <f t="shared" si="11"/>
        <v>7.4949999999999886</v>
      </c>
      <c r="F88">
        <f t="shared" si="12"/>
        <v>6.8714285714285586</v>
      </c>
      <c r="G88">
        <f t="shared" si="14"/>
        <v>1.0907484407484411</v>
      </c>
      <c r="H88">
        <f t="shared" si="8"/>
        <v>52.170238154427487</v>
      </c>
    </row>
    <row r="89" spans="1:8" x14ac:dyDescent="0.35">
      <c r="A89" s="19">
        <v>1250.46</v>
      </c>
      <c r="B89">
        <f t="shared" si="13"/>
        <v>-5.999999999994543E-2</v>
      </c>
      <c r="C89">
        <f t="shared" si="9"/>
        <v>0</v>
      </c>
      <c r="D89">
        <f t="shared" si="10"/>
        <v>12.809999999999945</v>
      </c>
      <c r="E89">
        <f t="shared" si="11"/>
        <v>7.4949999999999886</v>
      </c>
      <c r="F89">
        <f t="shared" si="12"/>
        <v>6.8999999999999932</v>
      </c>
      <c r="G89">
        <f t="shared" si="14"/>
        <v>1.0862318840579703</v>
      </c>
      <c r="H89">
        <f t="shared" si="8"/>
        <v>52.066689822855146</v>
      </c>
    </row>
    <row r="90" spans="1:8" x14ac:dyDescent="0.35">
      <c r="A90" s="18">
        <v>1237.6500000000001</v>
      </c>
      <c r="B90">
        <f t="shared" si="13"/>
        <v>-12.809999999999945</v>
      </c>
      <c r="C90">
        <f t="shared" si="9"/>
        <v>0</v>
      </c>
      <c r="D90">
        <f t="shared" si="10"/>
        <v>3.7300000000000182</v>
      </c>
      <c r="E90">
        <f t="shared" si="11"/>
        <v>8.5221428571428373</v>
      </c>
      <c r="F90">
        <f t="shared" si="12"/>
        <v>6.6335714285714209</v>
      </c>
      <c r="G90">
        <f t="shared" si="14"/>
        <v>1.2846990416711517</v>
      </c>
      <c r="H90">
        <f t="shared" si="8"/>
        <v>56.230558959374086</v>
      </c>
    </row>
    <row r="91" spans="1:8" x14ac:dyDescent="0.35">
      <c r="A91" s="19">
        <v>1233.92</v>
      </c>
      <c r="B91">
        <f t="shared" si="13"/>
        <v>-3.7300000000000182</v>
      </c>
      <c r="C91">
        <f t="shared" si="9"/>
        <v>26.419999999999845</v>
      </c>
      <c r="D91">
        <f t="shared" si="10"/>
        <v>0</v>
      </c>
      <c r="E91">
        <f t="shared" si="11"/>
        <v>6.6349999999999909</v>
      </c>
      <c r="F91">
        <f t="shared" si="12"/>
        <v>8.7114285714285575</v>
      </c>
      <c r="G91">
        <f t="shared" si="14"/>
        <v>0.76164316169235835</v>
      </c>
      <c r="H91">
        <f t="shared" si="8"/>
        <v>43.23481498720038</v>
      </c>
    </row>
    <row r="92" spans="1:8" x14ac:dyDescent="0.35">
      <c r="A92" s="18">
        <v>1260.3399999999999</v>
      </c>
      <c r="B92">
        <f t="shared" si="13"/>
        <v>26.419999999999845</v>
      </c>
      <c r="C92">
        <f t="shared" si="9"/>
        <v>1.5299999999999727</v>
      </c>
      <c r="D92">
        <f t="shared" si="10"/>
        <v>0</v>
      </c>
      <c r="E92">
        <f t="shared" si="11"/>
        <v>8.536428571428571</v>
      </c>
      <c r="F92">
        <f t="shared" si="12"/>
        <v>8.7114285714285575</v>
      </c>
      <c r="G92">
        <f t="shared" si="14"/>
        <v>0.97991144637586247</v>
      </c>
      <c r="H92">
        <f t="shared" si="8"/>
        <v>49.492690603387622</v>
      </c>
    </row>
    <row r="93" spans="1:8" x14ac:dyDescent="0.35">
      <c r="A93" s="19">
        <v>1261.8699999999999</v>
      </c>
      <c r="B93">
        <f t="shared" si="13"/>
        <v>1.5299999999999727</v>
      </c>
      <c r="C93">
        <f t="shared" si="9"/>
        <v>18.730000000000018</v>
      </c>
      <c r="D93">
        <f t="shared" si="10"/>
        <v>0</v>
      </c>
      <c r="E93">
        <f t="shared" si="11"/>
        <v>7.1985714285714266</v>
      </c>
      <c r="F93">
        <f t="shared" si="12"/>
        <v>8.8621428571428531</v>
      </c>
      <c r="G93">
        <f t="shared" si="14"/>
        <v>0.81228338840976888</v>
      </c>
      <c r="H93">
        <f t="shared" si="8"/>
        <v>44.820991772292643</v>
      </c>
    </row>
    <row r="94" spans="1:8" x14ac:dyDescent="0.35">
      <c r="A94" s="18">
        <v>1280.5999999999999</v>
      </c>
      <c r="B94">
        <f t="shared" si="13"/>
        <v>18.730000000000018</v>
      </c>
      <c r="C94">
        <f t="shared" si="9"/>
        <v>0</v>
      </c>
      <c r="D94">
        <f t="shared" si="10"/>
        <v>27.899999999999864</v>
      </c>
      <c r="E94">
        <f t="shared" si="11"/>
        <v>7.4135714285714256</v>
      </c>
      <c r="F94">
        <f t="shared" si="12"/>
        <v>6.8692857142857191</v>
      </c>
      <c r="G94">
        <f t="shared" si="14"/>
        <v>1.0792346885723187</v>
      </c>
      <c r="H94">
        <f t="shared" si="8"/>
        <v>51.905381076215221</v>
      </c>
    </row>
    <row r="95" spans="1:8" x14ac:dyDescent="0.35">
      <c r="A95" s="19">
        <v>1252.7</v>
      </c>
      <c r="B95">
        <f t="shared" si="13"/>
        <v>-27.899999999999864</v>
      </c>
      <c r="C95">
        <f t="shared" si="9"/>
        <v>7.2899999999999636</v>
      </c>
      <c r="D95">
        <f t="shared" si="10"/>
        <v>0</v>
      </c>
      <c r="E95">
        <f t="shared" si="11"/>
        <v>6.8928571428571432</v>
      </c>
      <c r="F95">
        <f t="shared" si="12"/>
        <v>7.3449999999999944</v>
      </c>
      <c r="G95">
        <f t="shared" si="14"/>
        <v>0.93844208888456748</v>
      </c>
      <c r="H95">
        <f t="shared" si="8"/>
        <v>48.412180805699109</v>
      </c>
    </row>
    <row r="96" spans="1:8" x14ac:dyDescent="0.35">
      <c r="A96" s="18">
        <v>1259.99</v>
      </c>
      <c r="B96">
        <f t="shared" si="13"/>
        <v>7.2899999999999636</v>
      </c>
      <c r="C96">
        <f t="shared" si="9"/>
        <v>11.269999999999982</v>
      </c>
      <c r="D96">
        <f t="shared" si="10"/>
        <v>0</v>
      </c>
      <c r="E96">
        <f t="shared" si="11"/>
        <v>7.1735714285714165</v>
      </c>
      <c r="F96">
        <f t="shared" si="12"/>
        <v>7.3449999999999944</v>
      </c>
      <c r="G96">
        <f t="shared" si="14"/>
        <v>0.97666050763395806</v>
      </c>
      <c r="H96">
        <f t="shared" si="8"/>
        <v>49.40962314277278</v>
      </c>
    </row>
    <row r="97" spans="1:8" x14ac:dyDescent="0.35">
      <c r="A97" s="19">
        <v>1271.26</v>
      </c>
      <c r="B97">
        <f t="shared" si="13"/>
        <v>11.269999999999982</v>
      </c>
      <c r="C97">
        <f t="shared" si="9"/>
        <v>0</v>
      </c>
      <c r="D97">
        <f t="shared" si="10"/>
        <v>24.309999999999945</v>
      </c>
      <c r="E97">
        <f t="shared" si="11"/>
        <v>7.1735714285714165</v>
      </c>
      <c r="F97">
        <f t="shared" si="12"/>
        <v>5.9242857142857019</v>
      </c>
      <c r="G97">
        <f t="shared" si="14"/>
        <v>1.2108753315649872</v>
      </c>
      <c r="H97">
        <f t="shared" si="8"/>
        <v>54.769046190761856</v>
      </c>
    </row>
    <row r="98" spans="1:8" x14ac:dyDescent="0.35">
      <c r="A98" s="18">
        <v>1246.95</v>
      </c>
      <c r="B98">
        <f t="shared" si="13"/>
        <v>-24.309999999999945</v>
      </c>
      <c r="C98">
        <f t="shared" si="9"/>
        <v>11.970000000000027</v>
      </c>
      <c r="D98">
        <f t="shared" si="10"/>
        <v>0</v>
      </c>
      <c r="E98">
        <f t="shared" si="11"/>
        <v>6.3185714285714152</v>
      </c>
      <c r="F98">
        <f t="shared" si="12"/>
        <v>7.0971428571428499</v>
      </c>
      <c r="G98">
        <f t="shared" si="14"/>
        <v>0.8902979066022535</v>
      </c>
      <c r="H98">
        <f t="shared" si="8"/>
        <v>47.098285592588624</v>
      </c>
    </row>
    <row r="99" spans="1:8" x14ac:dyDescent="0.35">
      <c r="A99" s="19">
        <v>1258.92</v>
      </c>
      <c r="B99">
        <f t="shared" si="13"/>
        <v>11.970000000000027</v>
      </c>
      <c r="C99">
        <f t="shared" si="9"/>
        <v>0</v>
      </c>
      <c r="D99">
        <f t="shared" si="10"/>
        <v>9.9600000000000364</v>
      </c>
      <c r="E99">
        <f t="shared" si="11"/>
        <v>6.3185714285714152</v>
      </c>
      <c r="F99">
        <f t="shared" si="12"/>
        <v>6.5135714285714164</v>
      </c>
      <c r="G99">
        <f t="shared" si="14"/>
        <v>0.97006250685382145</v>
      </c>
      <c r="H99">
        <f t="shared" si="8"/>
        <v>49.240189256888392</v>
      </c>
    </row>
    <row r="100" spans="1:8" x14ac:dyDescent="0.35">
      <c r="A100" s="18">
        <v>1248.96</v>
      </c>
      <c r="B100">
        <f t="shared" si="13"/>
        <v>-9.9600000000000364</v>
      </c>
      <c r="C100">
        <f t="shared" si="9"/>
        <v>0</v>
      </c>
      <c r="D100">
        <f t="shared" si="10"/>
        <v>17.490000000000009</v>
      </c>
      <c r="E100">
        <f t="shared" si="11"/>
        <v>7.9971428571428431</v>
      </c>
      <c r="F100">
        <f t="shared" si="12"/>
        <v>5.2642857142857009</v>
      </c>
      <c r="G100">
        <f t="shared" si="14"/>
        <v>1.5191316146540039</v>
      </c>
      <c r="H100">
        <f t="shared" si="8"/>
        <v>60.303781105246166</v>
      </c>
    </row>
    <row r="101" spans="1:8" x14ac:dyDescent="0.35">
      <c r="A101" s="19">
        <v>1231.47</v>
      </c>
      <c r="B101">
        <f t="shared" si="13"/>
        <v>-17.490000000000009</v>
      </c>
      <c r="C101">
        <f t="shared" si="9"/>
        <v>20.089999999999918</v>
      </c>
      <c r="D101">
        <f t="shared" si="10"/>
        <v>0</v>
      </c>
      <c r="E101">
        <f t="shared" si="11"/>
        <v>6.5621428571428497</v>
      </c>
      <c r="F101">
        <f t="shared" si="12"/>
        <v>5.7799999999999887</v>
      </c>
      <c r="G101">
        <f t="shared" si="14"/>
        <v>1.1353188334157203</v>
      </c>
      <c r="H101">
        <f t="shared" si="8"/>
        <v>53.168586145031561</v>
      </c>
    </row>
    <row r="102" spans="1:8" x14ac:dyDescent="0.35">
      <c r="A102" s="18">
        <v>1251.56</v>
      </c>
      <c r="B102">
        <f t="shared" si="13"/>
        <v>20.089999999999918</v>
      </c>
      <c r="C102">
        <f t="shared" si="9"/>
        <v>7.6300000000001091</v>
      </c>
      <c r="D102">
        <f t="shared" si="10"/>
        <v>0</v>
      </c>
      <c r="E102">
        <f t="shared" si="11"/>
        <v>6.0171428571428418</v>
      </c>
      <c r="F102">
        <f t="shared" si="12"/>
        <v>7.2307142857142708</v>
      </c>
      <c r="G102">
        <f t="shared" si="14"/>
        <v>0.83216437814876976</v>
      </c>
      <c r="H102">
        <f t="shared" si="8"/>
        <v>45.419744433061936</v>
      </c>
    </row>
    <row r="103" spans="1:8" x14ac:dyDescent="0.35">
      <c r="A103" s="19">
        <v>1259.19</v>
      </c>
      <c r="B103">
        <f t="shared" si="13"/>
        <v>7.6300000000001091</v>
      </c>
      <c r="C103">
        <f t="shared" si="9"/>
        <v>0</v>
      </c>
      <c r="D103">
        <f t="shared" si="10"/>
        <v>13.210000000000036</v>
      </c>
      <c r="E103">
        <f t="shared" si="11"/>
        <v>6.6678571428571205</v>
      </c>
      <c r="F103">
        <f t="shared" si="12"/>
        <v>6.2871428571428396</v>
      </c>
      <c r="G103">
        <f t="shared" si="14"/>
        <v>1.0605544194501244</v>
      </c>
      <c r="H103">
        <f t="shared" si="8"/>
        <v>51.469372001984873</v>
      </c>
    </row>
    <row r="104" spans="1:8" x14ac:dyDescent="0.35">
      <c r="A104" s="18">
        <v>1245.98</v>
      </c>
      <c r="B104">
        <f t="shared" si="13"/>
        <v>-13.210000000000036</v>
      </c>
      <c r="C104">
        <f t="shared" si="9"/>
        <v>14.379999999999882</v>
      </c>
      <c r="D104">
        <f t="shared" si="10"/>
        <v>0</v>
      </c>
      <c r="E104">
        <f t="shared" si="11"/>
        <v>5.6407142857142718</v>
      </c>
      <c r="F104">
        <f t="shared" si="12"/>
        <v>6.8378571428571275</v>
      </c>
      <c r="G104">
        <f t="shared" si="14"/>
        <v>0.82492426616525627</v>
      </c>
      <c r="H104">
        <f t="shared" si="8"/>
        <v>45.203205495134512</v>
      </c>
    </row>
    <row r="105" spans="1:8" x14ac:dyDescent="0.35">
      <c r="A105" s="19">
        <v>1260.3599999999999</v>
      </c>
      <c r="B105">
        <f t="shared" si="13"/>
        <v>14.379999999999882</v>
      </c>
      <c r="C105">
        <f t="shared" si="9"/>
        <v>0</v>
      </c>
      <c r="D105">
        <f t="shared" si="10"/>
        <v>29.089999999999918</v>
      </c>
      <c r="E105">
        <f t="shared" si="11"/>
        <v>6.6721428571428465</v>
      </c>
      <c r="F105">
        <f t="shared" si="12"/>
        <v>4.7599999999999909</v>
      </c>
      <c r="G105">
        <f t="shared" si="14"/>
        <v>1.4017106842737099</v>
      </c>
      <c r="H105">
        <f t="shared" si="8"/>
        <v>58.363011558887862</v>
      </c>
    </row>
    <row r="106" spans="1:8" x14ac:dyDescent="0.35">
      <c r="A106" s="18">
        <v>1231.27</v>
      </c>
      <c r="B106">
        <f t="shared" si="13"/>
        <v>-29.089999999999918</v>
      </c>
      <c r="C106">
        <f t="shared" si="9"/>
        <v>28.150000000000091</v>
      </c>
      <c r="D106">
        <f t="shared" si="10"/>
        <v>0</v>
      </c>
      <c r="E106">
        <f t="shared" si="11"/>
        <v>4.9707142857142639</v>
      </c>
      <c r="F106">
        <f t="shared" si="12"/>
        <v>4.7599999999999909</v>
      </c>
      <c r="G106">
        <f t="shared" si="14"/>
        <v>1.0442677070828306</v>
      </c>
      <c r="H106">
        <f t="shared" si="8"/>
        <v>51.082727739851663</v>
      </c>
    </row>
    <row r="107" spans="1:8" x14ac:dyDescent="0.35">
      <c r="A107" s="19">
        <v>1259.42</v>
      </c>
      <c r="B107">
        <f t="shared" si="13"/>
        <v>28.150000000000091</v>
      </c>
      <c r="C107">
        <f t="shared" si="9"/>
        <v>0</v>
      </c>
      <c r="D107">
        <f t="shared" si="10"/>
        <v>2.1100000000001273</v>
      </c>
      <c r="E107">
        <f t="shared" si="11"/>
        <v>83.981428571428552</v>
      </c>
      <c r="F107">
        <f t="shared" si="12"/>
        <v>4.6092857142856962</v>
      </c>
      <c r="G107">
        <f t="shared" si="14"/>
        <v>18.220052688672002</v>
      </c>
      <c r="H107">
        <f t="shared" si="8"/>
        <v>94.797100631314166</v>
      </c>
    </row>
    <row r="108" spans="1:8" x14ac:dyDescent="0.35">
      <c r="A108" s="18">
        <v>1257.31</v>
      </c>
      <c r="B108">
        <f t="shared" si="13"/>
        <v>-2.1100000000001273</v>
      </c>
      <c r="C108">
        <f t="shared" si="9"/>
        <v>3.0099999999999909</v>
      </c>
      <c r="D108">
        <f t="shared" si="10"/>
        <v>0</v>
      </c>
      <c r="E108">
        <f t="shared" si="11"/>
        <v>84.028571428571425</v>
      </c>
      <c r="F108">
        <f t="shared" si="12"/>
        <v>4.6092857142856962</v>
      </c>
      <c r="G108">
        <f t="shared" si="14"/>
        <v>18.230280489694785</v>
      </c>
      <c r="H108">
        <f t="shared" si="8"/>
        <v>94.799867841054706</v>
      </c>
    </row>
    <row r="109" spans="1:8" x14ac:dyDescent="0.35">
      <c r="A109" s="19">
        <v>1260.32</v>
      </c>
      <c r="B109">
        <f t="shared" si="13"/>
        <v>3.0099999999999909</v>
      </c>
      <c r="C109">
        <f t="shared" si="9"/>
        <v>0</v>
      </c>
      <c r="D109">
        <f t="shared" si="10"/>
        <v>6.6599999999998545</v>
      </c>
      <c r="E109">
        <f t="shared" si="11"/>
        <v>84.028571428571425</v>
      </c>
      <c r="F109">
        <f t="shared" si="12"/>
        <v>5.7642857142857009</v>
      </c>
      <c r="G109">
        <f t="shared" si="14"/>
        <v>14.577447335811682</v>
      </c>
      <c r="H109">
        <f t="shared" si="8"/>
        <v>93.580462970328554</v>
      </c>
    </row>
    <row r="110" spans="1:8" x14ac:dyDescent="0.35">
      <c r="A110" s="18">
        <v>1253.6600000000001</v>
      </c>
      <c r="B110">
        <f t="shared" si="13"/>
        <v>-6.6599999999998545</v>
      </c>
      <c r="C110">
        <f t="shared" si="9"/>
        <v>15.199999999999818</v>
      </c>
      <c r="D110">
        <f t="shared" si="10"/>
        <v>0</v>
      </c>
      <c r="E110">
        <f t="shared" si="11"/>
        <v>82.94285714285715</v>
      </c>
      <c r="F110">
        <f t="shared" si="12"/>
        <v>5.9964285714285586</v>
      </c>
      <c r="G110">
        <f t="shared" si="14"/>
        <v>13.832042882668286</v>
      </c>
      <c r="H110">
        <f t="shared" si="8"/>
        <v>93.257840420832849</v>
      </c>
    </row>
    <row r="111" spans="1:8" x14ac:dyDescent="0.35">
      <c r="A111" s="19">
        <v>1268.8599999999999</v>
      </c>
      <c r="B111">
        <f t="shared" si="13"/>
        <v>15.199999999999818</v>
      </c>
      <c r="C111">
        <f t="shared" si="9"/>
        <v>0</v>
      </c>
      <c r="D111">
        <f t="shared" si="10"/>
        <v>4.4199999999998454</v>
      </c>
      <c r="E111">
        <f t="shared" si="11"/>
        <v>84.211428571428556</v>
      </c>
      <c r="F111">
        <f t="shared" si="12"/>
        <v>5.6807142857142834</v>
      </c>
      <c r="G111">
        <f t="shared" si="14"/>
        <v>14.824091537784486</v>
      </c>
      <c r="H111">
        <f t="shared" si="8"/>
        <v>93.680521895287214</v>
      </c>
    </row>
    <row r="112" spans="1:8" x14ac:dyDescent="0.35">
      <c r="A112" s="18">
        <v>1264.44</v>
      </c>
      <c r="B112">
        <f t="shared" si="13"/>
        <v>-4.4199999999998454</v>
      </c>
      <c r="C112">
        <f t="shared" si="9"/>
        <v>0</v>
      </c>
      <c r="D112">
        <f t="shared" si="10"/>
        <v>16.420000000000073</v>
      </c>
      <c r="E112">
        <f t="shared" si="11"/>
        <v>85.297142857142859</v>
      </c>
      <c r="F112">
        <f t="shared" si="12"/>
        <v>4.5078571428571355</v>
      </c>
      <c r="G112">
        <f t="shared" si="14"/>
        <v>18.921882427507558</v>
      </c>
      <c r="H112">
        <f t="shared" si="8"/>
        <v>94.980394028331233</v>
      </c>
    </row>
    <row r="113" spans="1:8" x14ac:dyDescent="0.35">
      <c r="A113" s="19">
        <v>1248.02</v>
      </c>
      <c r="B113">
        <f t="shared" si="13"/>
        <v>-16.420000000000073</v>
      </c>
      <c r="C113">
        <f t="shared" si="9"/>
        <v>0</v>
      </c>
      <c r="D113">
        <f t="shared" si="10"/>
        <v>1.7899999999999636</v>
      </c>
      <c r="E113">
        <f t="shared" si="11"/>
        <v>85.297142857142859</v>
      </c>
      <c r="F113">
        <f t="shared" si="12"/>
        <v>6.5764285714285666</v>
      </c>
      <c r="G113">
        <f t="shared" si="14"/>
        <v>12.970131421744334</v>
      </c>
      <c r="H113">
        <f t="shared" si="8"/>
        <v>92.841871204994447</v>
      </c>
    </row>
    <row r="114" spans="1:8" x14ac:dyDescent="0.35">
      <c r="A114" s="18">
        <v>1246.23</v>
      </c>
      <c r="B114">
        <f t="shared" si="13"/>
        <v>-1.7899999999999636</v>
      </c>
      <c r="C114">
        <f t="shared" si="9"/>
        <v>23.5</v>
      </c>
      <c r="D114">
        <f t="shared" si="10"/>
        <v>0</v>
      </c>
      <c r="E114">
        <f t="shared" si="11"/>
        <v>84.798571428571435</v>
      </c>
      <c r="F114">
        <f t="shared" si="12"/>
        <v>6.5764285714285666</v>
      </c>
      <c r="G114">
        <f t="shared" si="14"/>
        <v>12.89431953948084</v>
      </c>
      <c r="H114">
        <f t="shared" si="8"/>
        <v>92.802814148915388</v>
      </c>
    </row>
    <row r="115" spans="1:8" x14ac:dyDescent="0.35">
      <c r="A115" s="19">
        <v>1269.73</v>
      </c>
      <c r="B115">
        <f t="shared" si="13"/>
        <v>23.5</v>
      </c>
      <c r="C115">
        <f t="shared" si="9"/>
        <v>0</v>
      </c>
      <c r="D115">
        <f t="shared" si="10"/>
        <v>7.2200000000000273</v>
      </c>
      <c r="E115">
        <f t="shared" si="11"/>
        <v>84.798571428571435</v>
      </c>
      <c r="F115">
        <f t="shared" si="12"/>
        <v>6.1542857142857041</v>
      </c>
      <c r="G115">
        <f t="shared" si="14"/>
        <v>13.778783658310145</v>
      </c>
      <c r="H115">
        <f t="shared" si="8"/>
        <v>93.23354327987812</v>
      </c>
    </row>
    <row r="116" spans="1:8" x14ac:dyDescent="0.35">
      <c r="A116" s="18">
        <v>1262.51</v>
      </c>
      <c r="B116">
        <f t="shared" si="13"/>
        <v>-7.2200000000000273</v>
      </c>
      <c r="C116">
        <f t="shared" si="9"/>
        <v>0</v>
      </c>
      <c r="D116">
        <f t="shared" si="10"/>
        <v>20.309999999999945</v>
      </c>
      <c r="E116">
        <f t="shared" si="11"/>
        <v>86.608571428571409</v>
      </c>
      <c r="F116">
        <f t="shared" si="12"/>
        <v>4.7035714285714221</v>
      </c>
      <c r="G116">
        <f t="shared" si="14"/>
        <v>18.413363705391063</v>
      </c>
      <c r="H116">
        <f t="shared" si="8"/>
        <v>94.848909157755585</v>
      </c>
    </row>
    <row r="117" spans="1:8" x14ac:dyDescent="0.35">
      <c r="A117" s="19">
        <v>1242.2</v>
      </c>
      <c r="B117">
        <f t="shared" si="13"/>
        <v>-20.309999999999945</v>
      </c>
      <c r="C117">
        <f t="shared" si="9"/>
        <v>9.1099999999999</v>
      </c>
      <c r="D117">
        <f t="shared" si="10"/>
        <v>0</v>
      </c>
      <c r="E117">
        <f t="shared" si="11"/>
        <v>85.957857142857137</v>
      </c>
      <c r="F117">
        <f t="shared" si="12"/>
        <v>7.717857142857123</v>
      </c>
      <c r="G117">
        <f t="shared" si="14"/>
        <v>11.137528921795493</v>
      </c>
      <c r="H117">
        <f t="shared" si="8"/>
        <v>91.761090692815657</v>
      </c>
    </row>
    <row r="118" spans="1:8" x14ac:dyDescent="0.35">
      <c r="A118" s="18">
        <v>1251.31</v>
      </c>
      <c r="B118">
        <f t="shared" si="13"/>
        <v>9.1099999999999</v>
      </c>
      <c r="C118">
        <f t="shared" si="9"/>
        <v>0</v>
      </c>
      <c r="D118">
        <f t="shared" si="10"/>
        <v>7.7100000000000364</v>
      </c>
      <c r="E118">
        <f t="shared" si="11"/>
        <v>87.144285714285715</v>
      </c>
      <c r="F118">
        <f t="shared" si="12"/>
        <v>7.1671428571428351</v>
      </c>
      <c r="G118">
        <f t="shared" si="14"/>
        <v>12.158859876420209</v>
      </c>
      <c r="H118">
        <f t="shared" si="8"/>
        <v>92.400557423732948</v>
      </c>
    </row>
    <row r="119" spans="1:8" x14ac:dyDescent="0.35">
      <c r="A119" s="19">
        <v>1243.5999999999999</v>
      </c>
      <c r="B119">
        <f t="shared" si="13"/>
        <v>-7.7100000000000364</v>
      </c>
      <c r="C119">
        <f t="shared" si="9"/>
        <v>14.440000000000055</v>
      </c>
      <c r="D119">
        <f t="shared" si="10"/>
        <v>0</v>
      </c>
      <c r="E119">
        <f t="shared" si="11"/>
        <v>86.112857142857138</v>
      </c>
      <c r="F119">
        <f t="shared" si="12"/>
        <v>7.7892857142856951</v>
      </c>
      <c r="G119">
        <f t="shared" si="14"/>
        <v>11.055295735900989</v>
      </c>
      <c r="H119">
        <f t="shared" si="8"/>
        <v>91.704890349375887</v>
      </c>
    </row>
    <row r="120" spans="1:8" x14ac:dyDescent="0.35">
      <c r="A120" s="18">
        <v>1258.04</v>
      </c>
      <c r="B120">
        <f t="shared" si="13"/>
        <v>14.440000000000055</v>
      </c>
      <c r="C120">
        <f t="shared" si="9"/>
        <v>4.3299999999999272</v>
      </c>
      <c r="D120">
        <f t="shared" si="10"/>
        <v>0</v>
      </c>
      <c r="E120">
        <f t="shared" si="11"/>
        <v>87.78357142857142</v>
      </c>
      <c r="F120">
        <f t="shared" si="12"/>
        <v>7.7892857142856951</v>
      </c>
      <c r="G120">
        <f t="shared" si="14"/>
        <v>11.269784502521805</v>
      </c>
      <c r="H120">
        <f t="shared" si="8"/>
        <v>91.84989760990122</v>
      </c>
    </row>
    <row r="121" spans="1:8" x14ac:dyDescent="0.35">
      <c r="A121" s="19">
        <v>1262.3699999999999</v>
      </c>
      <c r="B121">
        <f t="shared" si="13"/>
        <v>4.3299999999999272</v>
      </c>
      <c r="C121">
        <f t="shared" si="9"/>
        <v>1106.1500000000001</v>
      </c>
      <c r="D121">
        <f t="shared" si="10"/>
        <v>0</v>
      </c>
      <c r="E121">
        <f t="shared" si="11"/>
        <v>8.7728571428571218</v>
      </c>
      <c r="F121">
        <f t="shared" si="12"/>
        <v>10.577142857142819</v>
      </c>
      <c r="G121">
        <f t="shared" si="14"/>
        <v>0.8294165316045391</v>
      </c>
      <c r="H121">
        <f t="shared" si="8"/>
        <v>45.337763012181654</v>
      </c>
    </row>
    <row r="122" spans="1:8" x14ac:dyDescent="0.35">
      <c r="A122" s="18">
        <v>2368.52</v>
      </c>
      <c r="B122">
        <f t="shared" si="13"/>
        <v>1106.1500000000001</v>
      </c>
      <c r="C122">
        <f t="shared" si="9"/>
        <v>3.6700000000000728</v>
      </c>
      <c r="D122">
        <f t="shared" si="10"/>
        <v>0</v>
      </c>
      <c r="E122">
        <f t="shared" si="11"/>
        <v>11.52071428571425</v>
      </c>
      <c r="F122">
        <f t="shared" si="12"/>
        <v>10.577142857142819</v>
      </c>
      <c r="G122">
        <f t="shared" si="14"/>
        <v>1.0892085359265267</v>
      </c>
      <c r="H122">
        <f t="shared" si="8"/>
        <v>52.134983999741415</v>
      </c>
    </row>
    <row r="123" spans="1:8" x14ac:dyDescent="0.35">
      <c r="A123" s="19">
        <v>2372.19</v>
      </c>
      <c r="B123">
        <f t="shared" si="13"/>
        <v>3.6700000000000728</v>
      </c>
      <c r="C123">
        <f t="shared" si="9"/>
        <v>0</v>
      </c>
      <c r="D123">
        <f t="shared" si="10"/>
        <v>22.829999999999927</v>
      </c>
      <c r="E123">
        <f t="shared" si="11"/>
        <v>11.829999999999959</v>
      </c>
      <c r="F123">
        <f t="shared" si="12"/>
        <v>8.9464285714285392</v>
      </c>
      <c r="G123">
        <f t="shared" si="14"/>
        <v>1.3223153692614773</v>
      </c>
      <c r="H123">
        <f t="shared" si="8"/>
        <v>56.939526248839691</v>
      </c>
    </row>
    <row r="124" spans="1:8" x14ac:dyDescent="0.35">
      <c r="A124" s="18">
        <v>2349.36</v>
      </c>
      <c r="B124">
        <f t="shared" si="13"/>
        <v>-22.829999999999927</v>
      </c>
      <c r="C124">
        <f t="shared" si="9"/>
        <v>0</v>
      </c>
      <c r="D124">
        <f t="shared" si="10"/>
        <v>3.25</v>
      </c>
      <c r="E124">
        <f t="shared" si="11"/>
        <v>11.829999999999959</v>
      </c>
      <c r="F124">
        <f t="shared" si="12"/>
        <v>9.6728571428571151</v>
      </c>
      <c r="G124">
        <f t="shared" si="14"/>
        <v>1.223009895141042</v>
      </c>
      <c r="H124">
        <f t="shared" si="8"/>
        <v>55.015944724953478</v>
      </c>
    </row>
    <row r="125" spans="1:8" x14ac:dyDescent="0.35">
      <c r="A125" s="19">
        <v>2346.11</v>
      </c>
      <c r="B125">
        <f t="shared" si="13"/>
        <v>-3.25</v>
      </c>
      <c r="C125">
        <f t="shared" si="9"/>
        <v>17.759999999999764</v>
      </c>
      <c r="D125">
        <f t="shared" si="10"/>
        <v>0</v>
      </c>
      <c r="E125">
        <f t="shared" si="11"/>
        <v>10.561428571428548</v>
      </c>
      <c r="F125">
        <f t="shared" si="12"/>
        <v>10.518571428571411</v>
      </c>
      <c r="G125">
        <f t="shared" si="14"/>
        <v>1.0040744261849783</v>
      </c>
      <c r="H125">
        <f t="shared" si="8"/>
        <v>50.101653564651649</v>
      </c>
    </row>
    <row r="126" spans="1:8" x14ac:dyDescent="0.35">
      <c r="A126" s="18">
        <v>2363.87</v>
      </c>
      <c r="B126">
        <f t="shared" si="13"/>
        <v>17.759999999999764</v>
      </c>
      <c r="C126">
        <f t="shared" si="9"/>
        <v>15.200000000000273</v>
      </c>
      <c r="D126">
        <f t="shared" si="10"/>
        <v>0</v>
      </c>
      <c r="E126">
        <f t="shared" si="11"/>
        <v>9.6764285714285574</v>
      </c>
      <c r="F126">
        <f t="shared" si="12"/>
        <v>10.518571428571411</v>
      </c>
      <c r="G126">
        <f t="shared" si="14"/>
        <v>0.91993752546516383</v>
      </c>
      <c r="H126">
        <f t="shared" si="8"/>
        <v>47.914971881300183</v>
      </c>
    </row>
    <row r="127" spans="1:8" x14ac:dyDescent="0.35">
      <c r="A127" s="19">
        <v>2379.0700000000002</v>
      </c>
      <c r="B127">
        <f t="shared" si="13"/>
        <v>15.200000000000273</v>
      </c>
      <c r="C127">
        <f t="shared" si="9"/>
        <v>0</v>
      </c>
      <c r="D127">
        <f t="shared" si="10"/>
        <v>30.75</v>
      </c>
      <c r="E127">
        <f t="shared" si="11"/>
        <v>10.662857142857124</v>
      </c>
      <c r="F127">
        <f t="shared" si="12"/>
        <v>8.3221428571428397</v>
      </c>
      <c r="G127">
        <f t="shared" si="14"/>
        <v>1.2812634108660206</v>
      </c>
      <c r="H127">
        <f t="shared" si="8"/>
        <v>56.164641258136129</v>
      </c>
    </row>
    <row r="128" spans="1:8" x14ac:dyDescent="0.35">
      <c r="A128" s="18">
        <v>2348.3200000000002</v>
      </c>
      <c r="B128">
        <f t="shared" si="13"/>
        <v>-30.75</v>
      </c>
      <c r="C128">
        <f t="shared" si="9"/>
        <v>16.519999999999982</v>
      </c>
      <c r="D128">
        <f t="shared" si="10"/>
        <v>0</v>
      </c>
      <c r="E128">
        <f t="shared" si="11"/>
        <v>9.4828571428571262</v>
      </c>
      <c r="F128">
        <f t="shared" si="12"/>
        <v>9.2707142857142824</v>
      </c>
      <c r="G128">
        <f t="shared" si="14"/>
        <v>1.0228831188843501</v>
      </c>
      <c r="H128">
        <f t="shared" si="8"/>
        <v>50.565606551133079</v>
      </c>
    </row>
    <row r="129" spans="1:8" x14ac:dyDescent="0.35">
      <c r="A129" s="19">
        <v>2364.84</v>
      </c>
      <c r="B129">
        <f t="shared" si="13"/>
        <v>16.519999999999982</v>
      </c>
      <c r="C129">
        <f t="shared" si="9"/>
        <v>0</v>
      </c>
      <c r="D129">
        <f t="shared" si="10"/>
        <v>1.3099999999999454</v>
      </c>
      <c r="E129">
        <f t="shared" si="11"/>
        <v>9.4828571428571262</v>
      </c>
      <c r="F129">
        <f t="shared" si="12"/>
        <v>9.7964285714285779</v>
      </c>
      <c r="G129">
        <f t="shared" si="14"/>
        <v>0.96799125045570311</v>
      </c>
      <c r="H129">
        <f t="shared" si="8"/>
        <v>49.186765959023319</v>
      </c>
    </row>
    <row r="130" spans="1:8" x14ac:dyDescent="0.35">
      <c r="A130" s="18">
        <v>2363.5300000000002</v>
      </c>
      <c r="B130">
        <f t="shared" si="13"/>
        <v>-1.3099999999999454</v>
      </c>
      <c r="C130">
        <f t="shared" si="9"/>
        <v>25.339999999999691</v>
      </c>
      <c r="D130">
        <f t="shared" si="10"/>
        <v>0</v>
      </c>
      <c r="E130">
        <f t="shared" si="11"/>
        <v>7.6728571428571479</v>
      </c>
      <c r="F130">
        <f t="shared" si="12"/>
        <v>9.9585714285714335</v>
      </c>
      <c r="G130">
        <f t="shared" si="14"/>
        <v>0.77047769330081783</v>
      </c>
      <c r="H130">
        <f t="shared" ref="H130:H193" si="15">100 - (100 / (1 + G130))</f>
        <v>43.518068384378545</v>
      </c>
    </row>
    <row r="131" spans="1:8" x14ac:dyDescent="0.35">
      <c r="A131" s="19">
        <v>2388.87</v>
      </c>
      <c r="B131">
        <f t="shared" si="13"/>
        <v>25.339999999999691</v>
      </c>
      <c r="C131">
        <f t="shared" ref="C131:C194" si="16">IF(B132 &gt; 0, B132, 0)</f>
        <v>0</v>
      </c>
      <c r="D131">
        <f t="shared" ref="D131:D194" si="17">IF(B132 &lt; 0, ABS(B132), 0)</f>
        <v>42.199999999999818</v>
      </c>
      <c r="E131">
        <f t="shared" ref="E131:E194" si="18">AVERAGE(C132:C145)</f>
        <v>7.8028571428571594</v>
      </c>
      <c r="F131">
        <f t="shared" ref="F131:F194" si="19">AVERAGE(D132:D145)</f>
        <v>6.9442857142857326</v>
      </c>
      <c r="G131">
        <f t="shared" si="14"/>
        <v>1.1236371117054098</v>
      </c>
      <c r="H131">
        <f t="shared" si="15"/>
        <v>52.91097549162064</v>
      </c>
    </row>
    <row r="132" spans="1:8" x14ac:dyDescent="0.35">
      <c r="A132" s="18">
        <v>2346.67</v>
      </c>
      <c r="B132">
        <f t="shared" ref="B132:B195" si="20">A132-A131</f>
        <v>-42.199999999999818</v>
      </c>
      <c r="C132">
        <f t="shared" si="16"/>
        <v>16.610000000000127</v>
      </c>
      <c r="D132">
        <f t="shared" si="17"/>
        <v>0</v>
      </c>
      <c r="E132">
        <f t="shared" si="18"/>
        <v>6.9949999999999886</v>
      </c>
      <c r="F132">
        <f t="shared" si="19"/>
        <v>6.9442857142857326</v>
      </c>
      <c r="G132">
        <f t="shared" si="14"/>
        <v>1.0073030240691172</v>
      </c>
      <c r="H132">
        <f t="shared" si="15"/>
        <v>50.181911350243297</v>
      </c>
    </row>
    <row r="133" spans="1:8" x14ac:dyDescent="0.35">
      <c r="A133" s="19">
        <v>2363.2800000000002</v>
      </c>
      <c r="B133">
        <f t="shared" si="20"/>
        <v>16.610000000000127</v>
      </c>
      <c r="C133">
        <f t="shared" si="16"/>
        <v>0</v>
      </c>
      <c r="D133">
        <f t="shared" si="17"/>
        <v>8.7100000000000364</v>
      </c>
      <c r="E133">
        <f t="shared" si="18"/>
        <v>7.8049999999999988</v>
      </c>
      <c r="F133">
        <f t="shared" si="19"/>
        <v>6.3221428571428726</v>
      </c>
      <c r="G133">
        <f t="shared" si="14"/>
        <v>1.2345497683877495</v>
      </c>
      <c r="H133">
        <f t="shared" si="15"/>
        <v>55.248255637577039</v>
      </c>
    </row>
    <row r="134" spans="1:8" x14ac:dyDescent="0.35">
      <c r="A134" s="18">
        <v>2354.5700000000002</v>
      </c>
      <c r="B134">
        <f t="shared" si="20"/>
        <v>-8.7100000000000364</v>
      </c>
      <c r="C134">
        <f t="shared" si="16"/>
        <v>27.7199999999998</v>
      </c>
      <c r="D134">
        <f t="shared" si="17"/>
        <v>0</v>
      </c>
      <c r="E134">
        <f t="shared" si="18"/>
        <v>5.8250000000000126</v>
      </c>
      <c r="F134">
        <f t="shared" si="19"/>
        <v>7.4328571428571388</v>
      </c>
      <c r="G134">
        <f t="shared" si="14"/>
        <v>0.78368249087065367</v>
      </c>
      <c r="H134">
        <f t="shared" si="15"/>
        <v>43.936210333495026</v>
      </c>
    </row>
    <row r="135" spans="1:8" x14ac:dyDescent="0.35">
      <c r="A135" s="19">
        <v>2382.29</v>
      </c>
      <c r="B135">
        <f t="shared" si="20"/>
        <v>27.7199999999998</v>
      </c>
      <c r="C135">
        <f t="shared" si="16"/>
        <v>0</v>
      </c>
      <c r="D135">
        <f t="shared" si="17"/>
        <v>39.029999999999745</v>
      </c>
      <c r="E135">
        <f t="shared" si="18"/>
        <v>6.7650000000000023</v>
      </c>
      <c r="F135">
        <f t="shared" si="19"/>
        <v>4.6450000000000147</v>
      </c>
      <c r="G135">
        <f t="shared" si="14"/>
        <v>1.456404736275561</v>
      </c>
      <c r="H135">
        <f t="shared" si="15"/>
        <v>59.290096406660759</v>
      </c>
    </row>
    <row r="136" spans="1:8" x14ac:dyDescent="0.35">
      <c r="A136" s="18">
        <v>2343.2600000000002</v>
      </c>
      <c r="B136">
        <f t="shared" si="20"/>
        <v>-39.029999999999745</v>
      </c>
      <c r="C136">
        <f t="shared" si="16"/>
        <v>42.139999999999873</v>
      </c>
      <c r="D136">
        <f t="shared" si="17"/>
        <v>0</v>
      </c>
      <c r="E136">
        <f t="shared" si="18"/>
        <v>4.8485714285714367</v>
      </c>
      <c r="F136">
        <f t="shared" si="19"/>
        <v>4.6450000000000147</v>
      </c>
      <c r="G136">
        <f t="shared" si="14"/>
        <v>1.0438259264954621</v>
      </c>
      <c r="H136">
        <f t="shared" si="15"/>
        <v>51.07215408923328</v>
      </c>
    </row>
    <row r="137" spans="1:8" x14ac:dyDescent="0.35">
      <c r="A137" s="19">
        <v>2385.4</v>
      </c>
      <c r="B137">
        <f t="shared" si="20"/>
        <v>42.139999999999873</v>
      </c>
      <c r="C137">
        <f t="shared" si="16"/>
        <v>4.3299999999999272</v>
      </c>
      <c r="D137">
        <f t="shared" si="17"/>
        <v>0</v>
      </c>
      <c r="E137">
        <f t="shared" si="18"/>
        <v>4.539285714285727</v>
      </c>
      <c r="F137">
        <f t="shared" si="19"/>
        <v>6.5150000000000023</v>
      </c>
      <c r="G137">
        <f t="shared" si="14"/>
        <v>0.69674377809450894</v>
      </c>
      <c r="H137">
        <f t="shared" si="15"/>
        <v>41.063582321013243</v>
      </c>
    </row>
    <row r="138" spans="1:8" x14ac:dyDescent="0.35">
      <c r="A138" s="18">
        <v>2389.73</v>
      </c>
      <c r="B138">
        <f t="shared" si="20"/>
        <v>4.3299999999999272</v>
      </c>
      <c r="C138">
        <f t="shared" si="16"/>
        <v>0</v>
      </c>
      <c r="D138">
        <f t="shared" si="17"/>
        <v>13.420000000000073</v>
      </c>
      <c r="E138">
        <f t="shared" si="18"/>
        <v>4.9457142857143026</v>
      </c>
      <c r="F138">
        <f t="shared" si="19"/>
        <v>5.5564285714285688</v>
      </c>
      <c r="G138">
        <f t="shared" si="14"/>
        <v>0.89008870034709175</v>
      </c>
      <c r="H138">
        <f t="shared" si="15"/>
        <v>47.092430116302893</v>
      </c>
    </row>
    <row r="139" spans="1:8" x14ac:dyDescent="0.35">
      <c r="A139" s="19">
        <v>2376.31</v>
      </c>
      <c r="B139">
        <f t="shared" si="20"/>
        <v>-13.420000000000073</v>
      </c>
      <c r="C139">
        <f t="shared" si="16"/>
        <v>0</v>
      </c>
      <c r="D139">
        <f t="shared" si="17"/>
        <v>11.840000000000146</v>
      </c>
      <c r="E139">
        <f t="shared" si="18"/>
        <v>4.9457142857143026</v>
      </c>
      <c r="F139">
        <f t="shared" si="19"/>
        <v>6.1871428571428497</v>
      </c>
      <c r="G139">
        <f t="shared" si="14"/>
        <v>0.79935349803740841</v>
      </c>
      <c r="H139">
        <f t="shared" si="15"/>
        <v>44.424483510843174</v>
      </c>
    </row>
    <row r="140" spans="1:8" x14ac:dyDescent="0.35">
      <c r="A140" s="18">
        <v>2364.4699999999998</v>
      </c>
      <c r="B140">
        <f t="shared" si="20"/>
        <v>-11.840000000000146</v>
      </c>
      <c r="C140">
        <f t="shared" si="16"/>
        <v>2.8100000000004002</v>
      </c>
      <c r="D140">
        <f t="shared" si="17"/>
        <v>0</v>
      </c>
      <c r="E140">
        <f t="shared" si="18"/>
        <v>6.9721428571428339</v>
      </c>
      <c r="F140">
        <f t="shared" si="19"/>
        <v>6.1871428571428497</v>
      </c>
      <c r="G140">
        <f t="shared" si="14"/>
        <v>1.126876010159314</v>
      </c>
      <c r="H140">
        <f t="shared" si="15"/>
        <v>52.982684687618679</v>
      </c>
    </row>
    <row r="141" spans="1:8" x14ac:dyDescent="0.35">
      <c r="A141" s="19">
        <v>2367.2800000000002</v>
      </c>
      <c r="B141">
        <f t="shared" si="20"/>
        <v>2.8100000000004002</v>
      </c>
      <c r="C141">
        <f t="shared" si="16"/>
        <v>13.809999999999945</v>
      </c>
      <c r="D141">
        <f t="shared" si="17"/>
        <v>0</v>
      </c>
      <c r="E141">
        <f t="shared" si="18"/>
        <v>5.9857142857142662</v>
      </c>
      <c r="F141">
        <f t="shared" si="19"/>
        <v>7.4442857142856997</v>
      </c>
      <c r="G141">
        <f t="shared" si="14"/>
        <v>0.8040683170216838</v>
      </c>
      <c r="H141">
        <f t="shared" si="15"/>
        <v>44.569726624827112</v>
      </c>
    </row>
    <row r="142" spans="1:8" x14ac:dyDescent="0.35">
      <c r="A142" s="18">
        <v>2381.09</v>
      </c>
      <c r="B142">
        <f t="shared" si="20"/>
        <v>13.809999999999945</v>
      </c>
      <c r="C142">
        <f t="shared" si="16"/>
        <v>0</v>
      </c>
      <c r="D142">
        <f t="shared" si="17"/>
        <v>13.2800000000002</v>
      </c>
      <c r="E142">
        <f t="shared" si="18"/>
        <v>7.3092857142856769</v>
      </c>
      <c r="F142">
        <f t="shared" si="19"/>
        <v>6.4957142857142571</v>
      </c>
      <c r="G142">
        <f t="shared" si="14"/>
        <v>1.1252474158786006</v>
      </c>
      <c r="H142">
        <f t="shared" si="15"/>
        <v>52.946654938686798</v>
      </c>
    </row>
    <row r="143" spans="1:8" x14ac:dyDescent="0.35">
      <c r="A143" s="19">
        <v>2367.81</v>
      </c>
      <c r="B143">
        <f t="shared" si="20"/>
        <v>-13.2800000000002</v>
      </c>
      <c r="C143">
        <f t="shared" si="16"/>
        <v>0</v>
      </c>
      <c r="D143">
        <f t="shared" si="17"/>
        <v>8.6700000000000728</v>
      </c>
      <c r="E143">
        <f t="shared" si="18"/>
        <v>7.3092857142856769</v>
      </c>
      <c r="F143">
        <f t="shared" si="19"/>
        <v>6.177142857142826</v>
      </c>
      <c r="G143">
        <f t="shared" si="14"/>
        <v>1.1832793709528213</v>
      </c>
      <c r="H143">
        <f t="shared" si="15"/>
        <v>54.197341242518924</v>
      </c>
    </row>
    <row r="144" spans="1:8" x14ac:dyDescent="0.35">
      <c r="A144" s="18">
        <v>2359.14</v>
      </c>
      <c r="B144">
        <f t="shared" si="20"/>
        <v>-8.6700000000000728</v>
      </c>
      <c r="C144">
        <f t="shared" si="16"/>
        <v>0</v>
      </c>
      <c r="D144">
        <f t="shared" si="17"/>
        <v>2.2699999999999818</v>
      </c>
      <c r="E144">
        <f t="shared" si="18"/>
        <v>7.3092857142856769</v>
      </c>
      <c r="F144">
        <f t="shared" si="19"/>
        <v>6.4671428571428224</v>
      </c>
      <c r="G144">
        <f t="shared" si="14"/>
        <v>1.1302186878727638</v>
      </c>
      <c r="H144">
        <f t="shared" si="15"/>
        <v>53.056462902473179</v>
      </c>
    </row>
    <row r="145" spans="1:8" x14ac:dyDescent="0.35">
      <c r="A145" s="19">
        <v>2356.87</v>
      </c>
      <c r="B145">
        <f t="shared" si="20"/>
        <v>-2.2699999999999818</v>
      </c>
      <c r="C145">
        <f t="shared" si="16"/>
        <v>1.8200000000001637</v>
      </c>
      <c r="D145">
        <f t="shared" si="17"/>
        <v>0</v>
      </c>
      <c r="E145">
        <f t="shared" si="18"/>
        <v>7.1792857142856645</v>
      </c>
      <c r="F145">
        <f t="shared" si="19"/>
        <v>7.2142857142856815</v>
      </c>
      <c r="G145">
        <f t="shared" ref="G145:G208" si="21">E145/F145</f>
        <v>0.99514851485148281</v>
      </c>
      <c r="H145">
        <f t="shared" si="15"/>
        <v>49.878417944518823</v>
      </c>
    </row>
    <row r="146" spans="1:8" x14ac:dyDescent="0.35">
      <c r="A146" s="18">
        <v>2358.69</v>
      </c>
      <c r="B146">
        <f t="shared" si="20"/>
        <v>1.8200000000001637</v>
      </c>
      <c r="C146">
        <f t="shared" si="16"/>
        <v>5.2999999999997272</v>
      </c>
      <c r="D146">
        <f t="shared" si="17"/>
        <v>0</v>
      </c>
      <c r="E146">
        <f t="shared" si="18"/>
        <v>8.4064285714285436</v>
      </c>
      <c r="F146">
        <f t="shared" si="19"/>
        <v>7.2142857142856815</v>
      </c>
      <c r="G146">
        <f t="shared" si="21"/>
        <v>1.1652475247524767</v>
      </c>
      <c r="H146">
        <f t="shared" si="15"/>
        <v>53.815903790754071</v>
      </c>
    </row>
    <row r="147" spans="1:8" x14ac:dyDescent="0.35">
      <c r="A147" s="19">
        <v>2363.9899999999998</v>
      </c>
      <c r="B147">
        <f t="shared" si="20"/>
        <v>5.2999999999997272</v>
      </c>
      <c r="C147">
        <f t="shared" si="16"/>
        <v>11.340000000000146</v>
      </c>
      <c r="D147">
        <f t="shared" si="17"/>
        <v>0</v>
      </c>
      <c r="E147">
        <f t="shared" si="18"/>
        <v>7.5964285714285325</v>
      </c>
      <c r="F147">
        <f t="shared" si="19"/>
        <v>7.632142857142818</v>
      </c>
      <c r="G147">
        <f t="shared" si="21"/>
        <v>0.99532054281703319</v>
      </c>
      <c r="H147">
        <f t="shared" si="15"/>
        <v>49.8827392120075</v>
      </c>
    </row>
    <row r="148" spans="1:8" x14ac:dyDescent="0.35">
      <c r="A148" s="18">
        <v>2375.33</v>
      </c>
      <c r="B148">
        <f t="shared" si="20"/>
        <v>11.340000000000146</v>
      </c>
      <c r="C148">
        <f t="shared" si="16"/>
        <v>0</v>
      </c>
      <c r="D148">
        <f t="shared" si="17"/>
        <v>15.549999999999727</v>
      </c>
      <c r="E148">
        <f t="shared" si="18"/>
        <v>7.6449999999999818</v>
      </c>
      <c r="F148">
        <f t="shared" si="19"/>
        <v>6.5214285714285518</v>
      </c>
      <c r="G148">
        <f t="shared" si="21"/>
        <v>1.1722891566265068</v>
      </c>
      <c r="H148">
        <f t="shared" si="15"/>
        <v>53.965612867443163</v>
      </c>
    </row>
    <row r="149" spans="1:8" x14ac:dyDescent="0.35">
      <c r="A149" s="19">
        <v>2359.7800000000002</v>
      </c>
      <c r="B149">
        <f t="shared" si="20"/>
        <v>-15.549999999999727</v>
      </c>
      <c r="C149">
        <f t="shared" si="16"/>
        <v>13.159999999999854</v>
      </c>
      <c r="D149">
        <f t="shared" si="17"/>
        <v>0</v>
      </c>
      <c r="E149">
        <f t="shared" si="18"/>
        <v>6.7049999999999921</v>
      </c>
      <c r="F149">
        <f t="shared" si="19"/>
        <v>7.7278571428571468</v>
      </c>
      <c r="G149">
        <f t="shared" si="21"/>
        <v>0.86764026250115389</v>
      </c>
      <c r="H149">
        <f t="shared" si="15"/>
        <v>46.45649806988019</v>
      </c>
    </row>
    <row r="150" spans="1:8" x14ac:dyDescent="0.35">
      <c r="A150" s="18">
        <v>2372.94</v>
      </c>
      <c r="B150">
        <f t="shared" si="20"/>
        <v>13.159999999999854</v>
      </c>
      <c r="C150">
        <f t="shared" si="16"/>
        <v>15.309999999999945</v>
      </c>
      <c r="D150">
        <f t="shared" si="17"/>
        <v>0</v>
      </c>
      <c r="E150">
        <f t="shared" si="18"/>
        <v>7.7100000000000035</v>
      </c>
      <c r="F150">
        <f t="shared" si="19"/>
        <v>7.7278571428571468</v>
      </c>
      <c r="G150">
        <f t="shared" si="21"/>
        <v>0.99768925039282741</v>
      </c>
      <c r="H150">
        <f t="shared" si="15"/>
        <v>49.942164438069682</v>
      </c>
    </row>
    <row r="151" spans="1:8" x14ac:dyDescent="0.35">
      <c r="A151" s="19">
        <v>2388.25</v>
      </c>
      <c r="B151">
        <f t="shared" si="20"/>
        <v>15.309999999999945</v>
      </c>
      <c r="C151">
        <f t="shared" si="16"/>
        <v>0</v>
      </c>
      <c r="D151">
        <f t="shared" si="17"/>
        <v>26.179999999999836</v>
      </c>
      <c r="E151">
        <f t="shared" si="18"/>
        <v>7.7100000000000035</v>
      </c>
      <c r="F151">
        <f t="shared" si="19"/>
        <v>6.8757142857143014</v>
      </c>
      <c r="G151">
        <f t="shared" si="21"/>
        <v>1.121338042800746</v>
      </c>
      <c r="H151">
        <f t="shared" si="15"/>
        <v>52.859941234084182</v>
      </c>
    </row>
    <row r="152" spans="1:8" x14ac:dyDescent="0.35">
      <c r="A152" s="18">
        <v>2362.0700000000002</v>
      </c>
      <c r="B152">
        <f t="shared" si="20"/>
        <v>-26.179999999999836</v>
      </c>
      <c r="C152">
        <f t="shared" si="16"/>
        <v>5.6900000000000546</v>
      </c>
      <c r="D152">
        <f t="shared" si="17"/>
        <v>0</v>
      </c>
      <c r="E152">
        <f t="shared" si="18"/>
        <v>7.3035714285714288</v>
      </c>
      <c r="F152">
        <f t="shared" si="19"/>
        <v>6.9657142857143173</v>
      </c>
      <c r="G152">
        <f t="shared" si="21"/>
        <v>1.0485028712059017</v>
      </c>
      <c r="H152">
        <f t="shared" si="15"/>
        <v>51.183861440656642</v>
      </c>
    </row>
    <row r="153" spans="1:8" x14ac:dyDescent="0.35">
      <c r="A153" s="19">
        <v>2367.7600000000002</v>
      </c>
      <c r="B153">
        <f t="shared" si="20"/>
        <v>5.6900000000000546</v>
      </c>
      <c r="C153">
        <f t="shared" si="16"/>
        <v>0</v>
      </c>
      <c r="D153">
        <f t="shared" si="17"/>
        <v>20.670000000000073</v>
      </c>
      <c r="E153">
        <f t="shared" si="18"/>
        <v>7.3035714285714288</v>
      </c>
      <c r="F153">
        <f t="shared" si="19"/>
        <v>5.6121428571428691</v>
      </c>
      <c r="G153">
        <f t="shared" si="21"/>
        <v>1.3013872979508692</v>
      </c>
      <c r="H153">
        <f t="shared" si="15"/>
        <v>56.547948235814573</v>
      </c>
    </row>
    <row r="154" spans="1:8" x14ac:dyDescent="0.35">
      <c r="A154" s="18">
        <v>2347.09</v>
      </c>
      <c r="B154">
        <f t="shared" si="20"/>
        <v>-20.670000000000073</v>
      </c>
      <c r="C154">
        <f t="shared" si="16"/>
        <v>31.179999999999836</v>
      </c>
      <c r="D154">
        <f t="shared" si="17"/>
        <v>0</v>
      </c>
      <c r="E154">
        <f t="shared" si="18"/>
        <v>5.6785714285714288</v>
      </c>
      <c r="F154">
        <f t="shared" si="19"/>
        <v>5.6121428571428691</v>
      </c>
      <c r="G154">
        <f t="shared" si="21"/>
        <v>1.0118365788468859</v>
      </c>
      <c r="H154">
        <f t="shared" si="15"/>
        <v>50.294173467451067</v>
      </c>
    </row>
    <row r="155" spans="1:8" x14ac:dyDescent="0.35">
      <c r="A155" s="19">
        <v>2378.27</v>
      </c>
      <c r="B155">
        <f t="shared" si="20"/>
        <v>31.179999999999836</v>
      </c>
      <c r="C155">
        <f t="shared" si="16"/>
        <v>0</v>
      </c>
      <c r="D155">
        <f t="shared" si="17"/>
        <v>17.599999999999909</v>
      </c>
      <c r="E155">
        <f t="shared" si="18"/>
        <v>5.6785714285714288</v>
      </c>
      <c r="F155">
        <f t="shared" si="19"/>
        <v>4.3828571428571523</v>
      </c>
      <c r="G155">
        <f t="shared" si="21"/>
        <v>1.2956323337679243</v>
      </c>
      <c r="H155">
        <f t="shared" si="15"/>
        <v>56.439017464148748</v>
      </c>
    </row>
    <row r="156" spans="1:8" x14ac:dyDescent="0.35">
      <c r="A156" s="18">
        <v>2360.67</v>
      </c>
      <c r="B156">
        <f t="shared" si="20"/>
        <v>-17.599999999999909</v>
      </c>
      <c r="C156">
        <f t="shared" si="16"/>
        <v>18.529999999999745</v>
      </c>
      <c r="D156">
        <f t="shared" si="17"/>
        <v>0</v>
      </c>
      <c r="E156">
        <f t="shared" si="18"/>
        <v>4.8871428571428952</v>
      </c>
      <c r="F156">
        <f t="shared" si="19"/>
        <v>4.3828571428571523</v>
      </c>
      <c r="G156">
        <f t="shared" si="21"/>
        <v>1.1150586701434222</v>
      </c>
      <c r="H156">
        <f t="shared" si="15"/>
        <v>52.719987671444116</v>
      </c>
    </row>
    <row r="157" spans="1:8" x14ac:dyDescent="0.35">
      <c r="A157" s="19">
        <v>2379.1999999999998</v>
      </c>
      <c r="B157">
        <f t="shared" si="20"/>
        <v>18.529999999999745</v>
      </c>
      <c r="C157">
        <f t="shared" si="16"/>
        <v>0</v>
      </c>
      <c r="D157">
        <f t="shared" si="17"/>
        <v>4.2100000000000364</v>
      </c>
      <c r="E157">
        <f t="shared" si="18"/>
        <v>4.8871428571428952</v>
      </c>
      <c r="F157">
        <f t="shared" si="19"/>
        <v>6.6500000000000261</v>
      </c>
      <c r="G157">
        <f t="shared" si="21"/>
        <v>0.73490870032223699</v>
      </c>
      <c r="H157">
        <f t="shared" si="15"/>
        <v>42.36007924715215</v>
      </c>
    </row>
    <row r="158" spans="1:8" x14ac:dyDescent="0.35">
      <c r="A158" s="18">
        <v>2374.9899999999998</v>
      </c>
      <c r="B158">
        <f t="shared" si="20"/>
        <v>-4.2100000000000364</v>
      </c>
      <c r="C158">
        <f t="shared" si="16"/>
        <v>0</v>
      </c>
      <c r="D158">
        <f t="shared" si="17"/>
        <v>6.3299999999999272</v>
      </c>
      <c r="E158">
        <f t="shared" si="18"/>
        <v>6.1450000000000466</v>
      </c>
      <c r="F158">
        <f t="shared" si="19"/>
        <v>6.197857142857174</v>
      </c>
      <c r="G158">
        <f t="shared" si="21"/>
        <v>0.99147170681111241</v>
      </c>
      <c r="H158">
        <f t="shared" si="15"/>
        <v>49.785879629629697</v>
      </c>
    </row>
    <row r="159" spans="1:8" x14ac:dyDescent="0.35">
      <c r="A159" s="19">
        <v>2368.66</v>
      </c>
      <c r="B159">
        <f t="shared" si="20"/>
        <v>-6.3299999999999272</v>
      </c>
      <c r="C159">
        <f t="shared" si="16"/>
        <v>0</v>
      </c>
      <c r="D159">
        <f t="shared" si="17"/>
        <v>10.460000000000036</v>
      </c>
      <c r="E159">
        <f t="shared" si="18"/>
        <v>6.1450000000000466</v>
      </c>
      <c r="F159">
        <f t="shared" si="19"/>
        <v>5.4935714285714505</v>
      </c>
      <c r="G159">
        <f t="shared" si="21"/>
        <v>1.1185801586269706</v>
      </c>
      <c r="H159">
        <f t="shared" si="15"/>
        <v>52.798576163004881</v>
      </c>
    </row>
    <row r="160" spans="1:8" x14ac:dyDescent="0.35">
      <c r="A160" s="18">
        <v>2358.1999999999998</v>
      </c>
      <c r="B160">
        <f t="shared" si="20"/>
        <v>-10.460000000000036</v>
      </c>
      <c r="C160">
        <f t="shared" si="16"/>
        <v>22.480000000000018</v>
      </c>
      <c r="D160">
        <f t="shared" si="17"/>
        <v>0</v>
      </c>
      <c r="E160">
        <f t="shared" si="18"/>
        <v>4.5392857142857599</v>
      </c>
      <c r="F160">
        <f t="shared" si="19"/>
        <v>6.1071428571428896</v>
      </c>
      <c r="G160">
        <f t="shared" si="21"/>
        <v>0.74327485380117309</v>
      </c>
      <c r="H160">
        <f t="shared" si="15"/>
        <v>42.636699094263783</v>
      </c>
    </row>
    <row r="161" spans="1:8" x14ac:dyDescent="0.35">
      <c r="A161" s="19">
        <v>2380.6799999999998</v>
      </c>
      <c r="B161">
        <f t="shared" si="20"/>
        <v>22.480000000000018</v>
      </c>
      <c r="C161">
        <f t="shared" si="16"/>
        <v>0</v>
      </c>
      <c r="D161">
        <f t="shared" si="17"/>
        <v>5.8499999999999091</v>
      </c>
      <c r="E161">
        <f t="shared" si="18"/>
        <v>5.3885714285714652</v>
      </c>
      <c r="F161">
        <f t="shared" si="19"/>
        <v>5.6892857142857531</v>
      </c>
      <c r="G161">
        <f t="shared" si="21"/>
        <v>0.94714375392341488</v>
      </c>
      <c r="H161">
        <f t="shared" si="15"/>
        <v>48.642723579856856</v>
      </c>
    </row>
    <row r="162" spans="1:8" x14ac:dyDescent="0.35">
      <c r="A162" s="18">
        <v>2374.83</v>
      </c>
      <c r="B162">
        <f t="shared" si="20"/>
        <v>-5.8499999999999091</v>
      </c>
      <c r="C162">
        <f t="shared" si="16"/>
        <v>0.68000000000029104</v>
      </c>
      <c r="D162">
        <f t="shared" si="17"/>
        <v>0</v>
      </c>
      <c r="E162">
        <f t="shared" si="18"/>
        <v>5.4964285714285905</v>
      </c>
      <c r="F162">
        <f t="shared" si="19"/>
        <v>5.6892857142857531</v>
      </c>
      <c r="G162">
        <f t="shared" si="21"/>
        <v>0.966101694915251</v>
      </c>
      <c r="H162">
        <f t="shared" si="15"/>
        <v>49.137931034482676</v>
      </c>
    </row>
    <row r="163" spans="1:8" x14ac:dyDescent="0.35">
      <c r="A163" s="19">
        <v>2375.5100000000002</v>
      </c>
      <c r="B163">
        <f t="shared" si="20"/>
        <v>0.68000000000029104</v>
      </c>
      <c r="C163">
        <f t="shared" si="16"/>
        <v>0</v>
      </c>
      <c r="D163">
        <f t="shared" si="17"/>
        <v>16.890000000000327</v>
      </c>
      <c r="E163">
        <f t="shared" si="18"/>
        <v>5.4964285714285905</v>
      </c>
      <c r="F163">
        <f t="shared" si="19"/>
        <v>5.0192857142857132</v>
      </c>
      <c r="G163">
        <f t="shared" si="21"/>
        <v>1.0950619040842504</v>
      </c>
      <c r="H163">
        <f t="shared" si="15"/>
        <v>52.268713490015031</v>
      </c>
    </row>
    <row r="164" spans="1:8" x14ac:dyDescent="0.35">
      <c r="A164" s="18">
        <v>2358.62</v>
      </c>
      <c r="B164">
        <f t="shared" si="20"/>
        <v>-16.890000000000327</v>
      </c>
      <c r="C164">
        <f t="shared" si="16"/>
        <v>29.380000000000109</v>
      </c>
      <c r="D164">
        <f t="shared" si="17"/>
        <v>0</v>
      </c>
      <c r="E164">
        <f t="shared" si="18"/>
        <v>3.5421428571428675</v>
      </c>
      <c r="F164">
        <f t="shared" si="19"/>
        <v>5.0192857142857132</v>
      </c>
      <c r="G164">
        <f t="shared" si="21"/>
        <v>0.70570656040984991</v>
      </c>
      <c r="H164">
        <f t="shared" si="15"/>
        <v>41.373268813615958</v>
      </c>
    </row>
    <row r="165" spans="1:8" x14ac:dyDescent="0.35">
      <c r="A165" s="19">
        <v>2388</v>
      </c>
      <c r="B165">
        <f t="shared" si="20"/>
        <v>29.380000000000109</v>
      </c>
      <c r="C165">
        <f t="shared" si="16"/>
        <v>0</v>
      </c>
      <c r="D165">
        <f t="shared" si="17"/>
        <v>14.25</v>
      </c>
      <c r="E165">
        <f t="shared" si="18"/>
        <v>3.5421428571428675</v>
      </c>
      <c r="F165">
        <f t="shared" si="19"/>
        <v>4.2971428571428794</v>
      </c>
      <c r="G165">
        <f t="shared" si="21"/>
        <v>0.82430186170212583</v>
      </c>
      <c r="H165">
        <f t="shared" si="15"/>
        <v>45.184510250569424</v>
      </c>
    </row>
    <row r="166" spans="1:8" x14ac:dyDescent="0.35">
      <c r="A166" s="18">
        <v>2373.75</v>
      </c>
      <c r="B166">
        <f t="shared" si="20"/>
        <v>-14.25</v>
      </c>
      <c r="C166">
        <f t="shared" si="16"/>
        <v>0</v>
      </c>
      <c r="D166">
        <f t="shared" si="17"/>
        <v>1.2600000000002183</v>
      </c>
      <c r="E166">
        <f t="shared" si="18"/>
        <v>3.5421428571428675</v>
      </c>
      <c r="F166">
        <f t="shared" si="19"/>
        <v>4.8257142857142821</v>
      </c>
      <c r="G166">
        <f t="shared" si="21"/>
        <v>0.7340142095914769</v>
      </c>
      <c r="H166">
        <f t="shared" si="15"/>
        <v>42.330345710627483</v>
      </c>
    </row>
    <row r="167" spans="1:8" x14ac:dyDescent="0.35">
      <c r="A167" s="19">
        <v>2372.4899999999998</v>
      </c>
      <c r="B167">
        <f t="shared" si="20"/>
        <v>-1.2600000000002183</v>
      </c>
      <c r="C167">
        <f t="shared" si="16"/>
        <v>0</v>
      </c>
      <c r="D167">
        <f t="shared" si="17"/>
        <v>1.7199999999997999</v>
      </c>
      <c r="E167">
        <f t="shared" si="18"/>
        <v>42.61</v>
      </c>
      <c r="F167">
        <f t="shared" si="19"/>
        <v>4.7028571428571535</v>
      </c>
      <c r="G167">
        <f t="shared" si="21"/>
        <v>9.0604495747265901</v>
      </c>
      <c r="H167">
        <f t="shared" si="15"/>
        <v>90.060086355264332</v>
      </c>
    </row>
    <row r="168" spans="1:8" x14ac:dyDescent="0.35">
      <c r="A168" s="18">
        <v>2370.77</v>
      </c>
      <c r="B168">
        <f t="shared" si="20"/>
        <v>-1.7199999999997999</v>
      </c>
      <c r="C168">
        <f t="shared" si="16"/>
        <v>8.4299999999998363</v>
      </c>
      <c r="D168">
        <f t="shared" si="17"/>
        <v>0</v>
      </c>
      <c r="E168">
        <f t="shared" si="18"/>
        <v>42.654285714285734</v>
      </c>
      <c r="F168">
        <f t="shared" si="19"/>
        <v>4.7028571428571535</v>
      </c>
      <c r="G168">
        <f t="shared" si="21"/>
        <v>9.0698663426488295</v>
      </c>
      <c r="H168">
        <f t="shared" si="15"/>
        <v>90.069381598793342</v>
      </c>
    </row>
    <row r="169" spans="1:8" x14ac:dyDescent="0.35">
      <c r="A169" s="19">
        <v>2379.1999999999998</v>
      </c>
      <c r="B169">
        <f t="shared" si="20"/>
        <v>8.4299999999998363</v>
      </c>
      <c r="C169">
        <f t="shared" si="16"/>
        <v>0</v>
      </c>
      <c r="D169">
        <f t="shared" si="17"/>
        <v>0.38999999999987267</v>
      </c>
      <c r="E169">
        <f t="shared" si="18"/>
        <v>42.654285714285734</v>
      </c>
      <c r="F169">
        <f t="shared" si="19"/>
        <v>6.2328571428571582</v>
      </c>
      <c r="G169">
        <f t="shared" si="21"/>
        <v>6.8434563373825217</v>
      </c>
      <c r="H169">
        <f t="shared" si="15"/>
        <v>87.250518687355694</v>
      </c>
    </row>
    <row r="170" spans="1:8" x14ac:dyDescent="0.35">
      <c r="A170" s="18">
        <v>2378.81</v>
      </c>
      <c r="B170">
        <f t="shared" si="20"/>
        <v>-0.38999999999987267</v>
      </c>
      <c r="C170">
        <f t="shared" si="16"/>
        <v>7.4500000000002728</v>
      </c>
      <c r="D170">
        <f t="shared" si="17"/>
        <v>0</v>
      </c>
      <c r="E170">
        <f t="shared" si="18"/>
        <v>42.122142857142862</v>
      </c>
      <c r="F170">
        <f t="shared" si="19"/>
        <v>7.3821428571428829</v>
      </c>
      <c r="G170">
        <f t="shared" si="21"/>
        <v>5.7059506531204454</v>
      </c>
      <c r="H170">
        <f t="shared" si="15"/>
        <v>85.087871179984376</v>
      </c>
    </row>
    <row r="171" spans="1:8" x14ac:dyDescent="0.35">
      <c r="A171" s="19">
        <v>2386.2600000000002</v>
      </c>
      <c r="B171">
        <f t="shared" si="20"/>
        <v>7.4500000000002728</v>
      </c>
      <c r="C171">
        <f t="shared" si="16"/>
        <v>0</v>
      </c>
      <c r="D171">
        <f t="shared" si="17"/>
        <v>35.950000000000273</v>
      </c>
      <c r="E171">
        <f t="shared" si="18"/>
        <v>45.537857142857156</v>
      </c>
      <c r="F171">
        <f t="shared" si="19"/>
        <v>4.8142857142857212</v>
      </c>
      <c r="G171">
        <f t="shared" si="21"/>
        <v>9.4589020771513237</v>
      </c>
      <c r="H171">
        <f t="shared" si="15"/>
        <v>90.438766969770043</v>
      </c>
    </row>
    <row r="172" spans="1:8" x14ac:dyDescent="0.35">
      <c r="A172" s="18">
        <v>2350.31</v>
      </c>
      <c r="B172">
        <f t="shared" si="20"/>
        <v>-35.950000000000273</v>
      </c>
      <c r="C172">
        <f t="shared" si="16"/>
        <v>17.610000000000127</v>
      </c>
      <c r="D172">
        <f t="shared" si="17"/>
        <v>0</v>
      </c>
      <c r="E172">
        <f t="shared" si="18"/>
        <v>44.280000000000008</v>
      </c>
      <c r="F172">
        <f t="shared" si="19"/>
        <v>7.1735714285714494</v>
      </c>
      <c r="G172">
        <f t="shared" si="21"/>
        <v>6.1726575724384976</v>
      </c>
      <c r="H172">
        <f t="shared" si="15"/>
        <v>86.058166169223256</v>
      </c>
    </row>
    <row r="173" spans="1:8" x14ac:dyDescent="0.35">
      <c r="A173" s="19">
        <v>2367.92</v>
      </c>
      <c r="B173">
        <f t="shared" si="20"/>
        <v>17.610000000000127</v>
      </c>
      <c r="C173">
        <f t="shared" si="16"/>
        <v>0</v>
      </c>
      <c r="D173">
        <f t="shared" si="17"/>
        <v>0.59999999999990905</v>
      </c>
      <c r="E173">
        <f t="shared" si="18"/>
        <v>44.280000000000008</v>
      </c>
      <c r="F173">
        <f t="shared" si="19"/>
        <v>7.7771428571428647</v>
      </c>
      <c r="G173">
        <f t="shared" si="21"/>
        <v>5.6936076414401127</v>
      </c>
      <c r="H173">
        <f t="shared" si="15"/>
        <v>85.060373216245878</v>
      </c>
    </row>
    <row r="174" spans="1:8" x14ac:dyDescent="0.35">
      <c r="A174" s="18">
        <v>2367.3200000000002</v>
      </c>
      <c r="B174">
        <f t="shared" si="20"/>
        <v>-0.59999999999990905</v>
      </c>
      <c r="C174">
        <f t="shared" si="16"/>
        <v>0</v>
      </c>
      <c r="D174">
        <f t="shared" si="17"/>
        <v>8.5900000000001455</v>
      </c>
      <c r="E174">
        <f t="shared" si="18"/>
        <v>44.61</v>
      </c>
      <c r="F174">
        <f t="shared" si="19"/>
        <v>7.1635714285714256</v>
      </c>
      <c r="G174">
        <f t="shared" si="21"/>
        <v>6.2273407119353896</v>
      </c>
      <c r="H174">
        <f t="shared" si="15"/>
        <v>86.163652166714954</v>
      </c>
    </row>
    <row r="175" spans="1:8" x14ac:dyDescent="0.35">
      <c r="A175" s="19">
        <v>2358.73</v>
      </c>
      <c r="B175">
        <f t="shared" si="20"/>
        <v>-8.5900000000001455</v>
      </c>
      <c r="C175">
        <f t="shared" si="16"/>
        <v>11.889999999999873</v>
      </c>
      <c r="D175">
        <f t="shared" si="17"/>
        <v>0</v>
      </c>
      <c r="E175">
        <f t="shared" si="18"/>
        <v>44.327857142857155</v>
      </c>
      <c r="F175">
        <f t="shared" si="19"/>
        <v>7.1635714285714256</v>
      </c>
      <c r="G175">
        <f t="shared" si="21"/>
        <v>6.1879549307009718</v>
      </c>
      <c r="H175">
        <f t="shared" si="15"/>
        <v>86.087837088003567</v>
      </c>
    </row>
    <row r="176" spans="1:8" x14ac:dyDescent="0.35">
      <c r="A176" s="18">
        <v>2370.62</v>
      </c>
      <c r="B176">
        <f t="shared" si="20"/>
        <v>11.889999999999873</v>
      </c>
      <c r="C176">
        <f t="shared" si="16"/>
        <v>2.1900000000000546</v>
      </c>
      <c r="D176">
        <f t="shared" si="17"/>
        <v>0</v>
      </c>
      <c r="E176">
        <f t="shared" si="18"/>
        <v>45.785714285714285</v>
      </c>
      <c r="F176">
        <f t="shared" si="19"/>
        <v>7.1635714285714256</v>
      </c>
      <c r="G176">
        <f t="shared" si="21"/>
        <v>6.3914647522185684</v>
      </c>
      <c r="H176">
        <f t="shared" si="15"/>
        <v>86.470881841114817</v>
      </c>
    </row>
    <row r="177" spans="1:8" x14ac:dyDescent="0.35">
      <c r="A177" s="19">
        <v>2372.81</v>
      </c>
      <c r="B177">
        <f t="shared" si="20"/>
        <v>2.1900000000000546</v>
      </c>
      <c r="C177">
        <f t="shared" si="16"/>
        <v>0</v>
      </c>
      <c r="D177">
        <f t="shared" si="17"/>
        <v>7.5099999999997635</v>
      </c>
      <c r="E177">
        <f t="shared" si="18"/>
        <v>45.785714285714285</v>
      </c>
      <c r="F177">
        <f t="shared" si="19"/>
        <v>8.0500000000000203</v>
      </c>
      <c r="G177">
        <f t="shared" si="21"/>
        <v>5.6876663708961699</v>
      </c>
      <c r="H177">
        <f t="shared" si="15"/>
        <v>85.0471009685551</v>
      </c>
    </row>
    <row r="178" spans="1:8" x14ac:dyDescent="0.35">
      <c r="A178" s="18">
        <v>2365.3000000000002</v>
      </c>
      <c r="B178">
        <f t="shared" si="20"/>
        <v>-7.5099999999997635</v>
      </c>
      <c r="C178">
        <f t="shared" si="16"/>
        <v>2.0199999999999818</v>
      </c>
      <c r="D178">
        <f t="shared" si="17"/>
        <v>0</v>
      </c>
      <c r="E178">
        <f t="shared" si="18"/>
        <v>45.694285714285733</v>
      </c>
      <c r="F178">
        <f t="shared" si="19"/>
        <v>8.0500000000000203</v>
      </c>
      <c r="G178">
        <f t="shared" si="21"/>
        <v>5.6763087843833064</v>
      </c>
      <c r="H178">
        <f t="shared" si="15"/>
        <v>85.021663432657263</v>
      </c>
    </row>
    <row r="179" spans="1:8" x14ac:dyDescent="0.35">
      <c r="A179" s="19">
        <v>2367.3200000000002</v>
      </c>
      <c r="B179">
        <f t="shared" si="20"/>
        <v>2.0199999999999818</v>
      </c>
      <c r="C179">
        <f t="shared" si="16"/>
        <v>0</v>
      </c>
      <c r="D179">
        <f t="shared" si="17"/>
        <v>4.1400000000003274</v>
      </c>
      <c r="E179">
        <f t="shared" si="18"/>
        <v>45.694285714285733</v>
      </c>
      <c r="F179">
        <f t="shared" si="19"/>
        <v>7.8757142857143014</v>
      </c>
      <c r="G179">
        <f t="shared" si="21"/>
        <v>5.8019227280972157</v>
      </c>
      <c r="H179">
        <f t="shared" si="15"/>
        <v>85.298274620656528</v>
      </c>
    </row>
    <row r="180" spans="1:8" x14ac:dyDescent="0.35">
      <c r="A180" s="18">
        <v>2363.1799999999998</v>
      </c>
      <c r="B180">
        <f t="shared" si="20"/>
        <v>-4.1400000000003274</v>
      </c>
      <c r="C180">
        <f t="shared" si="16"/>
        <v>0</v>
      </c>
      <c r="D180">
        <f t="shared" si="17"/>
        <v>8.6599999999998545</v>
      </c>
      <c r="E180">
        <f t="shared" si="18"/>
        <v>45.694285714285733</v>
      </c>
      <c r="F180">
        <f t="shared" si="19"/>
        <v>7.7521428571428714</v>
      </c>
      <c r="G180">
        <f t="shared" si="21"/>
        <v>5.8944070763844012</v>
      </c>
      <c r="H180">
        <f t="shared" si="15"/>
        <v>85.495489475442682</v>
      </c>
    </row>
    <row r="181" spans="1:8" x14ac:dyDescent="0.35">
      <c r="A181" s="19">
        <v>2354.52</v>
      </c>
      <c r="B181">
        <f t="shared" si="20"/>
        <v>-8.6599999999998545</v>
      </c>
      <c r="C181">
        <f t="shared" si="16"/>
        <v>546.94999999999982</v>
      </c>
      <c r="D181">
        <f t="shared" si="17"/>
        <v>0</v>
      </c>
      <c r="E181">
        <f t="shared" si="18"/>
        <v>6.6264285714286029</v>
      </c>
      <c r="F181">
        <f t="shared" si="19"/>
        <v>7.8835714285714529</v>
      </c>
      <c r="G181">
        <f t="shared" si="21"/>
        <v>0.84053637763885258</v>
      </c>
      <c r="H181">
        <f t="shared" si="15"/>
        <v>45.668012208329273</v>
      </c>
    </row>
    <row r="182" spans="1:8" x14ac:dyDescent="0.35">
      <c r="A182" s="18">
        <v>2901.47</v>
      </c>
      <c r="B182">
        <f t="shared" si="20"/>
        <v>546.94999999999982</v>
      </c>
      <c r="C182">
        <f t="shared" si="16"/>
        <v>9.0500000000001819</v>
      </c>
      <c r="D182">
        <f t="shared" si="17"/>
        <v>0</v>
      </c>
      <c r="E182">
        <f t="shared" si="18"/>
        <v>5.9800000000000182</v>
      </c>
      <c r="F182">
        <f t="shared" si="19"/>
        <v>7.9814285714285882</v>
      </c>
      <c r="G182">
        <f t="shared" si="21"/>
        <v>0.74923930553069695</v>
      </c>
      <c r="H182">
        <f t="shared" si="15"/>
        <v>42.832293052286936</v>
      </c>
    </row>
    <row r="183" spans="1:8" x14ac:dyDescent="0.35">
      <c r="A183" s="19">
        <v>2910.52</v>
      </c>
      <c r="B183">
        <f t="shared" si="20"/>
        <v>9.0500000000001819</v>
      </c>
      <c r="C183">
        <f t="shared" si="16"/>
        <v>0</v>
      </c>
      <c r="D183">
        <f t="shared" si="17"/>
        <v>21.809999999999945</v>
      </c>
      <c r="E183">
        <f t="shared" si="18"/>
        <v>5.9800000000000182</v>
      </c>
      <c r="F183">
        <f t="shared" si="19"/>
        <v>6.4585714285714335</v>
      </c>
      <c r="G183">
        <f t="shared" si="21"/>
        <v>0.92590134925901557</v>
      </c>
      <c r="H183">
        <f t="shared" si="15"/>
        <v>48.076260480073557</v>
      </c>
    </row>
    <row r="184" spans="1:8" x14ac:dyDescent="0.35">
      <c r="A184" s="18">
        <v>2888.71</v>
      </c>
      <c r="B184">
        <f t="shared" si="20"/>
        <v>-21.809999999999945</v>
      </c>
      <c r="C184">
        <f t="shared" si="16"/>
        <v>0</v>
      </c>
      <c r="D184">
        <f t="shared" si="17"/>
        <v>16.090000000000146</v>
      </c>
      <c r="E184">
        <f t="shared" si="18"/>
        <v>6.9078571428571456</v>
      </c>
      <c r="F184">
        <f t="shared" si="19"/>
        <v>5.3092857142857088</v>
      </c>
      <c r="G184">
        <f t="shared" si="21"/>
        <v>1.3010897349656954</v>
      </c>
      <c r="H184">
        <f t="shared" si="15"/>
        <v>56.542329279700695</v>
      </c>
    </row>
    <row r="185" spans="1:8" x14ac:dyDescent="0.35">
      <c r="A185" s="19">
        <v>2872.62</v>
      </c>
      <c r="B185">
        <f t="shared" si="20"/>
        <v>-16.090000000000146</v>
      </c>
      <c r="C185">
        <f t="shared" si="16"/>
        <v>47.820000000000164</v>
      </c>
      <c r="D185">
        <f t="shared" si="17"/>
        <v>0</v>
      </c>
      <c r="E185">
        <f t="shared" si="18"/>
        <v>3.4921428571428481</v>
      </c>
      <c r="F185">
        <f t="shared" si="19"/>
        <v>5.3542857142857168</v>
      </c>
      <c r="G185">
        <f t="shared" si="21"/>
        <v>0.65221451440768208</v>
      </c>
      <c r="H185">
        <f t="shared" si="15"/>
        <v>39.475171578522335</v>
      </c>
    </row>
    <row r="186" spans="1:8" x14ac:dyDescent="0.35">
      <c r="A186" s="18">
        <v>2920.44</v>
      </c>
      <c r="B186">
        <f t="shared" si="20"/>
        <v>47.820000000000164</v>
      </c>
      <c r="C186">
        <f t="shared" si="16"/>
        <v>0</v>
      </c>
      <c r="D186">
        <f t="shared" si="17"/>
        <v>33.0300000000002</v>
      </c>
      <c r="E186">
        <f t="shared" si="18"/>
        <v>4.1550000000000056</v>
      </c>
      <c r="F186">
        <f t="shared" si="19"/>
        <v>2.9949999999999881</v>
      </c>
      <c r="G186">
        <f t="shared" si="21"/>
        <v>1.3873121869783045</v>
      </c>
      <c r="H186">
        <f t="shared" si="15"/>
        <v>58.111888111888241</v>
      </c>
    </row>
    <row r="187" spans="1:8" x14ac:dyDescent="0.35">
      <c r="A187" s="19">
        <v>2887.41</v>
      </c>
      <c r="B187">
        <f t="shared" si="20"/>
        <v>-33.0300000000002</v>
      </c>
      <c r="C187">
        <f t="shared" si="16"/>
        <v>0</v>
      </c>
      <c r="D187">
        <f t="shared" si="17"/>
        <v>9.0499999999997272</v>
      </c>
      <c r="E187">
        <f t="shared" si="18"/>
        <v>4.1550000000000056</v>
      </c>
      <c r="F187">
        <f t="shared" si="19"/>
        <v>4.3542857142857168</v>
      </c>
      <c r="G187">
        <f t="shared" si="21"/>
        <v>0.95423228346456768</v>
      </c>
      <c r="H187">
        <f t="shared" si="15"/>
        <v>48.829010324855219</v>
      </c>
    </row>
    <row r="188" spans="1:8" x14ac:dyDescent="0.35">
      <c r="A188" s="18">
        <v>2878.36</v>
      </c>
      <c r="B188">
        <f t="shared" si="20"/>
        <v>-9.0499999999997272</v>
      </c>
      <c r="C188">
        <f t="shared" si="16"/>
        <v>4.6199999999998909</v>
      </c>
      <c r="D188">
        <f t="shared" si="17"/>
        <v>0</v>
      </c>
      <c r="E188">
        <f t="shared" si="18"/>
        <v>6.4442857142856997</v>
      </c>
      <c r="F188">
        <f t="shared" si="19"/>
        <v>4.3542857142857168</v>
      </c>
      <c r="G188">
        <f t="shared" si="21"/>
        <v>1.4799868766404158</v>
      </c>
      <c r="H188">
        <f t="shared" si="15"/>
        <v>59.677205979626862</v>
      </c>
    </row>
    <row r="189" spans="1:8" x14ac:dyDescent="0.35">
      <c r="A189" s="19">
        <v>2882.98</v>
      </c>
      <c r="B189">
        <f t="shared" si="20"/>
        <v>4.6199999999998909</v>
      </c>
      <c r="C189">
        <f t="shared" si="16"/>
        <v>7.9400000000000546</v>
      </c>
      <c r="D189">
        <f t="shared" si="17"/>
        <v>0</v>
      </c>
      <c r="E189">
        <f t="shared" si="18"/>
        <v>5.8771428571428386</v>
      </c>
      <c r="F189">
        <f t="shared" si="19"/>
        <v>5.6707142857142765</v>
      </c>
      <c r="G189">
        <f t="shared" si="21"/>
        <v>1.0364025695931463</v>
      </c>
      <c r="H189">
        <f t="shared" si="15"/>
        <v>50.89379600420606</v>
      </c>
    </row>
    <row r="190" spans="1:8" x14ac:dyDescent="0.35">
      <c r="A190" s="18">
        <v>2890.92</v>
      </c>
      <c r="B190">
        <f t="shared" si="20"/>
        <v>7.9400000000000546</v>
      </c>
      <c r="C190">
        <f t="shared" si="16"/>
        <v>22.599999999999909</v>
      </c>
      <c r="D190">
        <f t="shared" si="17"/>
        <v>0</v>
      </c>
      <c r="E190">
        <f t="shared" si="18"/>
        <v>4.4492857142857121</v>
      </c>
      <c r="F190">
        <f t="shared" si="19"/>
        <v>5.6707142857142765</v>
      </c>
      <c r="G190">
        <f t="shared" si="21"/>
        <v>0.78460763320317506</v>
      </c>
      <c r="H190">
        <f t="shared" si="15"/>
        <v>43.965273856578229</v>
      </c>
    </row>
    <row r="191" spans="1:8" x14ac:dyDescent="0.35">
      <c r="A191" s="19">
        <v>2913.52</v>
      </c>
      <c r="B191">
        <f t="shared" si="20"/>
        <v>22.599999999999909</v>
      </c>
      <c r="C191">
        <f t="shared" si="16"/>
        <v>0</v>
      </c>
      <c r="D191">
        <f t="shared" si="17"/>
        <v>19.920000000000073</v>
      </c>
      <c r="E191">
        <f t="shared" si="18"/>
        <v>4.4492857142857121</v>
      </c>
      <c r="F191">
        <f t="shared" si="19"/>
        <v>5.6542857142857041</v>
      </c>
      <c r="G191">
        <f t="shared" si="21"/>
        <v>0.78688731682668112</v>
      </c>
      <c r="H191">
        <f t="shared" si="15"/>
        <v>44.036762106751532</v>
      </c>
    </row>
    <row r="192" spans="1:8" x14ac:dyDescent="0.35">
      <c r="A192" s="18">
        <v>2893.6</v>
      </c>
      <c r="B192">
        <f t="shared" si="20"/>
        <v>-19.920000000000073</v>
      </c>
      <c r="C192">
        <f t="shared" si="16"/>
        <v>0.74000000000023647</v>
      </c>
      <c r="D192">
        <f t="shared" si="17"/>
        <v>0</v>
      </c>
      <c r="E192">
        <f t="shared" si="18"/>
        <v>4.3964285714285518</v>
      </c>
      <c r="F192">
        <f t="shared" si="19"/>
        <v>6.3621428571428362</v>
      </c>
      <c r="G192">
        <f t="shared" si="21"/>
        <v>0.6910295273380479</v>
      </c>
      <c r="H192">
        <f t="shared" si="15"/>
        <v>40.864427034922286</v>
      </c>
    </row>
    <row r="193" spans="1:8" x14ac:dyDescent="0.35">
      <c r="A193" s="19">
        <v>2894.34</v>
      </c>
      <c r="B193">
        <f t="shared" si="20"/>
        <v>0.74000000000023647</v>
      </c>
      <c r="C193">
        <f t="shared" si="16"/>
        <v>0</v>
      </c>
      <c r="D193">
        <f t="shared" si="17"/>
        <v>1.7000000000002728</v>
      </c>
      <c r="E193">
        <f t="shared" si="18"/>
        <v>5.7685714285714118</v>
      </c>
      <c r="F193">
        <f t="shared" si="19"/>
        <v>6.2407142857142457</v>
      </c>
      <c r="G193">
        <f t="shared" si="21"/>
        <v>0.92434474075770034</v>
      </c>
      <c r="H193">
        <f t="shared" si="15"/>
        <v>48.034259204187322</v>
      </c>
    </row>
    <row r="194" spans="1:8" x14ac:dyDescent="0.35">
      <c r="A194" s="18">
        <v>2892.64</v>
      </c>
      <c r="B194">
        <f t="shared" si="20"/>
        <v>-1.7000000000002728</v>
      </c>
      <c r="C194">
        <f t="shared" si="16"/>
        <v>0</v>
      </c>
      <c r="D194">
        <f t="shared" si="17"/>
        <v>6.9299999999998363</v>
      </c>
      <c r="E194">
        <f t="shared" si="18"/>
        <v>6.2342857142856962</v>
      </c>
      <c r="F194">
        <f t="shared" si="19"/>
        <v>5.7457142857142571</v>
      </c>
      <c r="G194">
        <f t="shared" si="21"/>
        <v>1.0850323222277496</v>
      </c>
      <c r="H194">
        <f t="shared" ref="H194:H257" si="22">100 - (100 / (1 + G194))</f>
        <v>52.039112807059432</v>
      </c>
    </row>
    <row r="195" spans="1:8" x14ac:dyDescent="0.35">
      <c r="A195" s="19">
        <v>2885.71</v>
      </c>
      <c r="B195">
        <f t="shared" si="20"/>
        <v>-6.9299999999998363</v>
      </c>
      <c r="C195">
        <f t="shared" ref="C195:C258" si="23">IF(B196 &gt; 0, B196, 0)</f>
        <v>0</v>
      </c>
      <c r="D195">
        <f t="shared" ref="D195:D258" si="24">IF(B196 &lt; 0, ABS(B196), 0)</f>
        <v>1.8400000000001455</v>
      </c>
      <c r="E195">
        <f t="shared" ref="E195:E258" si="25">AVERAGE(C196:C209)</f>
        <v>6.2342857142856962</v>
      </c>
      <c r="F195">
        <f t="shared" ref="F195:F258" si="26">AVERAGE(D196:D209)</f>
        <v>6.287857142857125</v>
      </c>
      <c r="G195">
        <f t="shared" si="21"/>
        <v>0.99148017721231396</v>
      </c>
      <c r="H195">
        <f t="shared" si="22"/>
        <v>49.786093206320231</v>
      </c>
    </row>
    <row r="196" spans="1:8" x14ac:dyDescent="0.35">
      <c r="A196" s="18">
        <v>2883.87</v>
      </c>
      <c r="B196">
        <f t="shared" ref="B196:B259" si="27">A196-A195</f>
        <v>-1.8400000000001455</v>
      </c>
      <c r="C196">
        <f t="shared" si="23"/>
        <v>0</v>
      </c>
      <c r="D196">
        <f t="shared" si="24"/>
        <v>1.3699999999998909</v>
      </c>
      <c r="E196">
        <f t="shared" si="25"/>
        <v>6.2342857142856962</v>
      </c>
      <c r="F196">
        <f t="shared" si="26"/>
        <v>7.0464285714285451</v>
      </c>
      <c r="G196">
        <f t="shared" si="21"/>
        <v>0.88474404460212952</v>
      </c>
      <c r="H196">
        <f t="shared" si="22"/>
        <v>46.942397676544957</v>
      </c>
    </row>
    <row r="197" spans="1:8" x14ac:dyDescent="0.35">
      <c r="A197" s="19">
        <v>2882.5</v>
      </c>
      <c r="B197">
        <f t="shared" si="27"/>
        <v>-1.3699999999998909</v>
      </c>
      <c r="C197">
        <f t="shared" si="23"/>
        <v>0</v>
      </c>
      <c r="D197">
        <f t="shared" si="24"/>
        <v>0.48999999999978172</v>
      </c>
      <c r="E197">
        <f t="shared" si="25"/>
        <v>9.1792857142856974</v>
      </c>
      <c r="F197">
        <f t="shared" si="26"/>
        <v>7.0114285714285609</v>
      </c>
      <c r="G197">
        <f t="shared" si="21"/>
        <v>1.3091890790546044</v>
      </c>
      <c r="H197">
        <f t="shared" si="22"/>
        <v>56.694754488904572</v>
      </c>
    </row>
    <row r="198" spans="1:8" x14ac:dyDescent="0.35">
      <c r="A198" s="18">
        <v>2882.01</v>
      </c>
      <c r="B198">
        <f t="shared" si="27"/>
        <v>-0.48999999999978172</v>
      </c>
      <c r="C198">
        <f t="shared" si="23"/>
        <v>12.989999999999782</v>
      </c>
      <c r="D198">
        <f t="shared" si="24"/>
        <v>0</v>
      </c>
      <c r="E198">
        <f t="shared" si="25"/>
        <v>8.2514285714285709</v>
      </c>
      <c r="F198">
        <f t="shared" si="26"/>
        <v>7.9292857142856974</v>
      </c>
      <c r="G198">
        <f t="shared" si="21"/>
        <v>1.0406269705431965</v>
      </c>
      <c r="H198">
        <f t="shared" si="22"/>
        <v>50.995453140864399</v>
      </c>
    </row>
    <row r="199" spans="1:8" x14ac:dyDescent="0.35">
      <c r="A199" s="19">
        <v>2895</v>
      </c>
      <c r="B199">
        <f t="shared" si="27"/>
        <v>12.989999999999782</v>
      </c>
      <c r="C199">
        <f t="shared" si="23"/>
        <v>0</v>
      </c>
      <c r="D199">
        <f t="shared" si="24"/>
        <v>0.63000000000010914</v>
      </c>
      <c r="E199">
        <f t="shared" si="25"/>
        <v>8.2514285714285709</v>
      </c>
      <c r="F199">
        <f t="shared" si="26"/>
        <v>9.533571428571415</v>
      </c>
      <c r="G199">
        <f t="shared" si="21"/>
        <v>0.86551284932943851</v>
      </c>
      <c r="H199">
        <f t="shared" si="22"/>
        <v>46.39543756777384</v>
      </c>
    </row>
    <row r="200" spans="1:8" x14ac:dyDescent="0.35">
      <c r="A200" s="18">
        <v>2894.37</v>
      </c>
      <c r="B200">
        <f t="shared" si="27"/>
        <v>-0.63000000000010914</v>
      </c>
      <c r="C200">
        <f t="shared" si="23"/>
        <v>9.2800000000002001</v>
      </c>
      <c r="D200">
        <f t="shared" si="24"/>
        <v>0</v>
      </c>
      <c r="E200">
        <f t="shared" si="25"/>
        <v>9.216428571428553</v>
      </c>
      <c r="F200">
        <f t="shared" si="26"/>
        <v>9.533571428571415</v>
      </c>
      <c r="G200">
        <f t="shared" si="21"/>
        <v>0.96673409755001072</v>
      </c>
      <c r="H200">
        <f t="shared" si="22"/>
        <v>49.154285714285699</v>
      </c>
    </row>
    <row r="201" spans="1:8" x14ac:dyDescent="0.35">
      <c r="A201" s="19">
        <v>2903.65</v>
      </c>
      <c r="B201">
        <f t="shared" si="27"/>
        <v>9.2800000000002001</v>
      </c>
      <c r="C201">
        <f t="shared" si="23"/>
        <v>0</v>
      </c>
      <c r="D201">
        <f t="shared" si="24"/>
        <v>28.079999999999927</v>
      </c>
      <c r="E201">
        <f t="shared" si="25"/>
        <v>9.216428571428553</v>
      </c>
      <c r="F201">
        <f t="shared" si="26"/>
        <v>8.9314285714285688</v>
      </c>
      <c r="G201">
        <f t="shared" si="21"/>
        <v>1.0319097888675606</v>
      </c>
      <c r="H201">
        <f t="shared" si="22"/>
        <v>50.785216672570499</v>
      </c>
    </row>
    <row r="202" spans="1:8" x14ac:dyDescent="0.35">
      <c r="A202" s="18">
        <v>2875.57</v>
      </c>
      <c r="B202">
        <f t="shared" si="27"/>
        <v>-28.079999999999927</v>
      </c>
      <c r="C202">
        <f t="shared" si="23"/>
        <v>36.669999999999618</v>
      </c>
      <c r="D202">
        <f t="shared" si="24"/>
        <v>0</v>
      </c>
      <c r="E202">
        <f t="shared" si="25"/>
        <v>7.1307142857143129</v>
      </c>
      <c r="F202">
        <f t="shared" si="26"/>
        <v>8.9314285714285688</v>
      </c>
      <c r="G202">
        <f t="shared" si="21"/>
        <v>0.79838451695457779</v>
      </c>
      <c r="H202">
        <f t="shared" si="22"/>
        <v>44.394539067016602</v>
      </c>
    </row>
    <row r="203" spans="1:8" x14ac:dyDescent="0.35">
      <c r="A203" s="19">
        <v>2912.24</v>
      </c>
      <c r="B203">
        <f t="shared" si="27"/>
        <v>36.669999999999618</v>
      </c>
      <c r="C203">
        <f t="shared" si="23"/>
        <v>0</v>
      </c>
      <c r="D203">
        <f t="shared" si="24"/>
        <v>18.429999999999836</v>
      </c>
      <c r="E203">
        <f t="shared" si="25"/>
        <v>7.1307142857143129</v>
      </c>
      <c r="F203">
        <f t="shared" si="26"/>
        <v>9.2642857142857338</v>
      </c>
      <c r="G203">
        <f t="shared" si="21"/>
        <v>0.76969930609098047</v>
      </c>
      <c r="H203">
        <f t="shared" si="22"/>
        <v>43.493225286454972</v>
      </c>
    </row>
    <row r="204" spans="1:8" x14ac:dyDescent="0.35">
      <c r="A204" s="18">
        <v>2893.81</v>
      </c>
      <c r="B204">
        <f t="shared" si="27"/>
        <v>-18.429999999999836</v>
      </c>
      <c r="C204">
        <f t="shared" si="23"/>
        <v>2.6100000000001273</v>
      </c>
      <c r="D204">
        <f t="shared" si="24"/>
        <v>0</v>
      </c>
      <c r="E204">
        <f t="shared" si="25"/>
        <v>7.9378571428571503</v>
      </c>
      <c r="F204">
        <f t="shared" si="26"/>
        <v>9.2642857142857338</v>
      </c>
      <c r="G204">
        <f t="shared" si="21"/>
        <v>0.85682343870470212</v>
      </c>
      <c r="H204">
        <f t="shared" si="22"/>
        <v>46.144583316032026</v>
      </c>
    </row>
    <row r="205" spans="1:8" x14ac:dyDescent="0.35">
      <c r="A205" s="19">
        <v>2896.42</v>
      </c>
      <c r="B205">
        <f t="shared" si="27"/>
        <v>2.6100000000001273</v>
      </c>
      <c r="C205">
        <f t="shared" si="23"/>
        <v>0</v>
      </c>
      <c r="D205">
        <f t="shared" si="24"/>
        <v>19.690000000000055</v>
      </c>
      <c r="E205">
        <f t="shared" si="25"/>
        <v>8.5807142857142935</v>
      </c>
      <c r="F205">
        <f t="shared" si="26"/>
        <v>7.8578571428571582</v>
      </c>
      <c r="G205">
        <f t="shared" si="21"/>
        <v>1.0919916371238967</v>
      </c>
      <c r="H205">
        <f t="shared" si="22"/>
        <v>52.19866168419221</v>
      </c>
    </row>
    <row r="206" spans="1:8" x14ac:dyDescent="0.35">
      <c r="A206" s="18">
        <v>2876.73</v>
      </c>
      <c r="B206">
        <f t="shared" si="27"/>
        <v>-19.690000000000055</v>
      </c>
      <c r="C206">
        <f t="shared" si="23"/>
        <v>0</v>
      </c>
      <c r="D206">
        <f t="shared" si="24"/>
        <v>9.9099999999998545</v>
      </c>
      <c r="E206">
        <f t="shared" si="25"/>
        <v>8.5807142857142935</v>
      </c>
      <c r="F206">
        <f t="shared" si="26"/>
        <v>7.7585714285714529</v>
      </c>
      <c r="G206">
        <f t="shared" si="21"/>
        <v>1.1059657521635033</v>
      </c>
      <c r="H206">
        <f t="shared" si="22"/>
        <v>52.515846994535465</v>
      </c>
    </row>
    <row r="207" spans="1:8" x14ac:dyDescent="0.35">
      <c r="A207" s="19">
        <v>2866.82</v>
      </c>
      <c r="B207">
        <f t="shared" si="27"/>
        <v>-9.9099999999998545</v>
      </c>
      <c r="C207">
        <f t="shared" si="23"/>
        <v>19.210000000000036</v>
      </c>
      <c r="D207">
        <f t="shared" si="24"/>
        <v>0</v>
      </c>
      <c r="E207">
        <f t="shared" si="25"/>
        <v>7.2657142857143038</v>
      </c>
      <c r="F207">
        <f t="shared" si="26"/>
        <v>7.7585714285714529</v>
      </c>
      <c r="G207">
        <f t="shared" si="21"/>
        <v>0.93647578714785429</v>
      </c>
      <c r="H207">
        <f t="shared" si="22"/>
        <v>48.359798421603102</v>
      </c>
    </row>
    <row r="208" spans="1:8" x14ac:dyDescent="0.35">
      <c r="A208" s="18">
        <v>2886.03</v>
      </c>
      <c r="B208">
        <f t="shared" si="27"/>
        <v>19.210000000000036</v>
      </c>
      <c r="C208">
        <f t="shared" si="23"/>
        <v>6.5199999999999818</v>
      </c>
      <c r="D208">
        <f t="shared" si="24"/>
        <v>0</v>
      </c>
      <c r="E208">
        <f t="shared" si="25"/>
        <v>7.285000000000017</v>
      </c>
      <c r="F208">
        <f t="shared" si="26"/>
        <v>7.7585714285714529</v>
      </c>
      <c r="G208">
        <f t="shared" si="21"/>
        <v>0.93896151721598153</v>
      </c>
      <c r="H208">
        <f t="shared" si="22"/>
        <v>48.426000664735746</v>
      </c>
    </row>
    <row r="209" spans="1:8" x14ac:dyDescent="0.35">
      <c r="A209" s="19">
        <v>2892.55</v>
      </c>
      <c r="B209">
        <f t="shared" si="27"/>
        <v>6.5199999999999818</v>
      </c>
      <c r="C209">
        <f t="shared" si="23"/>
        <v>0</v>
      </c>
      <c r="D209">
        <f t="shared" si="24"/>
        <v>9.430000000000291</v>
      </c>
      <c r="E209">
        <f t="shared" si="25"/>
        <v>9.7285714285714473</v>
      </c>
      <c r="F209">
        <f t="shared" si="26"/>
        <v>7.0850000000000035</v>
      </c>
      <c r="G209">
        <f t="shared" ref="G209:G272" si="28">E209/F209</f>
        <v>1.3731222905534852</v>
      </c>
      <c r="H209">
        <f t="shared" si="22"/>
        <v>57.861421470750706</v>
      </c>
    </row>
    <row r="210" spans="1:8" x14ac:dyDescent="0.35">
      <c r="A210" s="18">
        <v>2883.12</v>
      </c>
      <c r="B210">
        <f t="shared" si="27"/>
        <v>-9.430000000000291</v>
      </c>
      <c r="C210">
        <f t="shared" si="23"/>
        <v>0</v>
      </c>
      <c r="D210">
        <f t="shared" si="24"/>
        <v>11.989999999999782</v>
      </c>
      <c r="E210">
        <f t="shared" si="25"/>
        <v>9.7285714285714473</v>
      </c>
      <c r="F210">
        <f t="shared" si="26"/>
        <v>8.3885714285714652</v>
      </c>
      <c r="G210">
        <f t="shared" si="28"/>
        <v>1.1597411444141661</v>
      </c>
      <c r="H210">
        <f t="shared" si="22"/>
        <v>53.698154865163168</v>
      </c>
    </row>
    <row r="211" spans="1:8" x14ac:dyDescent="0.35">
      <c r="A211" s="19">
        <v>2871.13</v>
      </c>
      <c r="B211">
        <f t="shared" si="27"/>
        <v>-11.989999999999782</v>
      </c>
      <c r="C211">
        <f t="shared" si="23"/>
        <v>41.230000000000018</v>
      </c>
      <c r="D211">
        <f t="shared" si="24"/>
        <v>0</v>
      </c>
      <c r="E211">
        <f t="shared" si="25"/>
        <v>7.036428571428587</v>
      </c>
      <c r="F211">
        <f t="shared" si="26"/>
        <v>8.3885714285714652</v>
      </c>
      <c r="G211">
        <f t="shared" si="28"/>
        <v>0.8388113079019055</v>
      </c>
      <c r="H211">
        <f t="shared" si="22"/>
        <v>45.617040981708676</v>
      </c>
    </row>
    <row r="212" spans="1:8" x14ac:dyDescent="0.35">
      <c r="A212" s="18">
        <v>2912.36</v>
      </c>
      <c r="B212">
        <f t="shared" si="27"/>
        <v>41.230000000000018</v>
      </c>
      <c r="C212">
        <f t="shared" si="23"/>
        <v>0</v>
      </c>
      <c r="D212">
        <f t="shared" si="24"/>
        <v>12.849999999999909</v>
      </c>
      <c r="E212">
        <f t="shared" si="25"/>
        <v>7.3764285714286029</v>
      </c>
      <c r="F212">
        <f t="shared" si="26"/>
        <v>7.4707142857143287</v>
      </c>
      <c r="G212">
        <f t="shared" si="28"/>
        <v>0.98737929056314988</v>
      </c>
      <c r="H212">
        <f t="shared" si="22"/>
        <v>49.682478591359526</v>
      </c>
    </row>
    <row r="213" spans="1:8" x14ac:dyDescent="0.35">
      <c r="A213" s="19">
        <v>2899.51</v>
      </c>
      <c r="B213">
        <f t="shared" si="27"/>
        <v>-12.849999999999909</v>
      </c>
      <c r="C213">
        <f t="shared" si="23"/>
        <v>0</v>
      </c>
      <c r="D213">
        <f t="shared" si="24"/>
        <v>23.090000000000146</v>
      </c>
      <c r="E213">
        <f t="shared" si="25"/>
        <v>7.4042857142857361</v>
      </c>
      <c r="F213">
        <f t="shared" si="26"/>
        <v>5.821428571428604</v>
      </c>
      <c r="G213">
        <f t="shared" si="28"/>
        <v>1.2719018404907942</v>
      </c>
      <c r="H213">
        <f t="shared" si="22"/>
        <v>55.984013825880254</v>
      </c>
    </row>
    <row r="214" spans="1:8" x14ac:dyDescent="0.35">
      <c r="A214" s="18">
        <v>2876.42</v>
      </c>
      <c r="B214">
        <f t="shared" si="27"/>
        <v>-23.090000000000146</v>
      </c>
      <c r="C214">
        <f t="shared" si="23"/>
        <v>22.789999999999964</v>
      </c>
      <c r="D214">
        <f t="shared" si="24"/>
        <v>0</v>
      </c>
      <c r="E214">
        <f t="shared" si="25"/>
        <v>5.7764285714285961</v>
      </c>
      <c r="F214">
        <f t="shared" si="26"/>
        <v>7.2764285714285961</v>
      </c>
      <c r="G214">
        <f t="shared" si="28"/>
        <v>0.79385491312457124</v>
      </c>
      <c r="H214">
        <f t="shared" si="22"/>
        <v>44.254131553026177</v>
      </c>
    </row>
    <row r="215" spans="1:8" x14ac:dyDescent="0.35">
      <c r="A215" s="19">
        <v>2899.21</v>
      </c>
      <c r="B215">
        <f t="shared" si="27"/>
        <v>22.789999999999964</v>
      </c>
      <c r="C215">
        <f t="shared" si="23"/>
        <v>0</v>
      </c>
      <c r="D215">
        <f t="shared" si="24"/>
        <v>19.650000000000091</v>
      </c>
      <c r="E215">
        <f t="shared" si="25"/>
        <v>5.7764285714285961</v>
      </c>
      <c r="F215">
        <f t="shared" si="26"/>
        <v>6.2350000000000296</v>
      </c>
      <c r="G215">
        <f t="shared" si="28"/>
        <v>0.9264520563638442</v>
      </c>
      <c r="H215">
        <f t="shared" si="22"/>
        <v>48.091103710751646</v>
      </c>
    </row>
    <row r="216" spans="1:8" x14ac:dyDescent="0.35">
      <c r="A216" s="18">
        <v>2879.56</v>
      </c>
      <c r="B216">
        <f t="shared" si="27"/>
        <v>-19.650000000000091</v>
      </c>
      <c r="C216">
        <f t="shared" si="23"/>
        <v>7.4700000000002547</v>
      </c>
      <c r="D216">
        <f t="shared" si="24"/>
        <v>0</v>
      </c>
      <c r="E216">
        <f t="shared" si="25"/>
        <v>6.1764285714285894</v>
      </c>
      <c r="F216">
        <f t="shared" si="26"/>
        <v>6.2350000000000296</v>
      </c>
      <c r="G216">
        <f t="shared" si="28"/>
        <v>0.99060602589070734</v>
      </c>
      <c r="H216">
        <f t="shared" si="22"/>
        <v>49.764042357274356</v>
      </c>
    </row>
    <row r="217" spans="1:8" x14ac:dyDescent="0.35">
      <c r="A217" s="19">
        <v>2887.03</v>
      </c>
      <c r="B217">
        <f t="shared" si="27"/>
        <v>7.4700000000002547</v>
      </c>
      <c r="C217">
        <f t="shared" si="23"/>
        <v>0</v>
      </c>
      <c r="D217">
        <f t="shared" si="24"/>
        <v>23.090000000000146</v>
      </c>
      <c r="E217">
        <f t="shared" si="25"/>
        <v>7.2221428571428659</v>
      </c>
      <c r="F217">
        <f t="shared" si="26"/>
        <v>4.5857142857143049</v>
      </c>
      <c r="G217">
        <f t="shared" si="28"/>
        <v>1.5749221183800577</v>
      </c>
      <c r="H217">
        <f t="shared" si="22"/>
        <v>61.163873933821236</v>
      </c>
    </row>
    <row r="218" spans="1:8" x14ac:dyDescent="0.35">
      <c r="A218" s="18">
        <v>2863.94</v>
      </c>
      <c r="B218">
        <f t="shared" si="27"/>
        <v>-23.090000000000146</v>
      </c>
      <c r="C218">
        <f t="shared" si="23"/>
        <v>13.909999999999854</v>
      </c>
      <c r="D218">
        <f t="shared" si="24"/>
        <v>0</v>
      </c>
      <c r="E218">
        <f t="shared" si="25"/>
        <v>6.2285714285714482</v>
      </c>
      <c r="F218">
        <f t="shared" si="26"/>
        <v>5.8599999999999977</v>
      </c>
      <c r="G218">
        <f t="shared" si="28"/>
        <v>1.062896148220384</v>
      </c>
      <c r="H218">
        <f t="shared" si="22"/>
        <v>51.524462302056335</v>
      </c>
    </row>
    <row r="219" spans="1:8" x14ac:dyDescent="0.35">
      <c r="A219" s="19">
        <v>2877.85</v>
      </c>
      <c r="B219">
        <f t="shared" si="27"/>
        <v>13.909999999999854</v>
      </c>
      <c r="C219">
        <f t="shared" si="23"/>
        <v>9</v>
      </c>
      <c r="D219">
        <f t="shared" si="24"/>
        <v>0</v>
      </c>
      <c r="E219">
        <f t="shared" si="25"/>
        <v>5.907142857142877</v>
      </c>
      <c r="F219">
        <f t="shared" si="26"/>
        <v>5.8599999999999977</v>
      </c>
      <c r="G219">
        <f t="shared" si="28"/>
        <v>1.0080448561677269</v>
      </c>
      <c r="H219">
        <f t="shared" si="22"/>
        <v>50.200315648901395</v>
      </c>
    </row>
    <row r="220" spans="1:8" x14ac:dyDescent="0.35">
      <c r="A220" s="18">
        <v>2886.85</v>
      </c>
      <c r="B220">
        <f t="shared" si="27"/>
        <v>9</v>
      </c>
      <c r="C220">
        <f t="shared" si="23"/>
        <v>0</v>
      </c>
      <c r="D220">
        <f t="shared" si="24"/>
        <v>8.5199999999999818</v>
      </c>
      <c r="E220">
        <f t="shared" si="25"/>
        <v>5.907142857142877</v>
      </c>
      <c r="F220">
        <f t="shared" si="26"/>
        <v>5.6192857142857191</v>
      </c>
      <c r="G220">
        <f t="shared" si="28"/>
        <v>1.0512266429388613</v>
      </c>
      <c r="H220">
        <f t="shared" si="22"/>
        <v>51.248683150523703</v>
      </c>
    </row>
    <row r="221" spans="1:8" x14ac:dyDescent="0.35">
      <c r="A221" s="19">
        <v>2878.33</v>
      </c>
      <c r="B221">
        <f t="shared" si="27"/>
        <v>-8.5199999999999818</v>
      </c>
      <c r="C221">
        <f t="shared" si="23"/>
        <v>0.8000000000001819</v>
      </c>
      <c r="D221">
        <f t="shared" si="24"/>
        <v>0</v>
      </c>
      <c r="E221">
        <f t="shared" si="25"/>
        <v>7.9214285714285779</v>
      </c>
      <c r="F221">
        <f t="shared" si="26"/>
        <v>5.6192857142857191</v>
      </c>
      <c r="G221">
        <f t="shared" si="28"/>
        <v>1.4096860302529552</v>
      </c>
      <c r="H221">
        <f t="shared" si="22"/>
        <v>58.500817639921927</v>
      </c>
    </row>
    <row r="222" spans="1:8" x14ac:dyDescent="0.35">
      <c r="A222" s="18">
        <v>2879.13</v>
      </c>
      <c r="B222">
        <f t="shared" si="27"/>
        <v>0.8000000000001819</v>
      </c>
      <c r="C222">
        <f t="shared" si="23"/>
        <v>6.7899999999999636</v>
      </c>
      <c r="D222">
        <f t="shared" si="24"/>
        <v>0</v>
      </c>
      <c r="E222">
        <f t="shared" si="25"/>
        <v>7.4364285714285803</v>
      </c>
      <c r="F222">
        <f t="shared" si="26"/>
        <v>8.6171428571428805</v>
      </c>
      <c r="G222">
        <f t="shared" si="28"/>
        <v>0.86298076923076794</v>
      </c>
      <c r="H222">
        <f t="shared" si="22"/>
        <v>46.322580645161253</v>
      </c>
    </row>
    <row r="223" spans="1:8" x14ac:dyDescent="0.35">
      <c r="A223" s="19">
        <v>2885.92</v>
      </c>
      <c r="B223">
        <f t="shared" si="27"/>
        <v>6.7899999999999636</v>
      </c>
      <c r="C223">
        <f t="shared" si="23"/>
        <v>34.210000000000036</v>
      </c>
      <c r="D223">
        <f t="shared" si="24"/>
        <v>0</v>
      </c>
      <c r="E223">
        <f t="shared" si="25"/>
        <v>4.9928571428571491</v>
      </c>
      <c r="F223">
        <f t="shared" si="26"/>
        <v>8.9864285714286005</v>
      </c>
      <c r="G223">
        <f t="shared" si="28"/>
        <v>0.55559971385422358</v>
      </c>
      <c r="H223">
        <f t="shared" si="22"/>
        <v>35.716110571764304</v>
      </c>
    </row>
    <row r="224" spans="1:8" x14ac:dyDescent="0.35">
      <c r="A224" s="18">
        <v>2920.13</v>
      </c>
      <c r="B224">
        <f t="shared" si="27"/>
        <v>34.210000000000036</v>
      </c>
      <c r="C224">
        <f t="shared" si="23"/>
        <v>0</v>
      </c>
      <c r="D224">
        <f t="shared" si="24"/>
        <v>30.240000000000236</v>
      </c>
      <c r="E224">
        <f t="shared" si="25"/>
        <v>6.5492857142857508</v>
      </c>
      <c r="F224">
        <f t="shared" si="26"/>
        <v>6.8264285714285835</v>
      </c>
      <c r="G224">
        <f t="shared" si="28"/>
        <v>0.95940148582191431</v>
      </c>
      <c r="H224">
        <f t="shared" si="22"/>
        <v>48.9640072626296</v>
      </c>
    </row>
    <row r="225" spans="1:8" x14ac:dyDescent="0.35">
      <c r="A225" s="19">
        <v>2889.89</v>
      </c>
      <c r="B225">
        <f t="shared" si="27"/>
        <v>-30.240000000000236</v>
      </c>
      <c r="C225">
        <f t="shared" si="23"/>
        <v>3.5399999999999636</v>
      </c>
      <c r="D225">
        <f t="shared" si="24"/>
        <v>0</v>
      </c>
      <c r="E225">
        <f t="shared" si="25"/>
        <v>7.3671428571428805</v>
      </c>
      <c r="F225">
        <f t="shared" si="26"/>
        <v>6.8264285714285835</v>
      </c>
      <c r="G225">
        <f t="shared" si="28"/>
        <v>1.0792089567856038</v>
      </c>
      <c r="H225">
        <f t="shared" si="22"/>
        <v>51.904785868854155</v>
      </c>
    </row>
    <row r="226" spans="1:8" x14ac:dyDescent="0.35">
      <c r="A226" s="18">
        <v>2893.43</v>
      </c>
      <c r="B226">
        <f t="shared" si="27"/>
        <v>3.5399999999999636</v>
      </c>
      <c r="C226">
        <f t="shared" si="23"/>
        <v>4.7600000000002183</v>
      </c>
      <c r="D226">
        <f t="shared" si="24"/>
        <v>0</v>
      </c>
      <c r="E226">
        <f t="shared" si="25"/>
        <v>7.0271428571428647</v>
      </c>
      <c r="F226">
        <f t="shared" si="26"/>
        <v>7.37785714285714</v>
      </c>
      <c r="G226">
        <f t="shared" si="28"/>
        <v>0.95246393648949701</v>
      </c>
      <c r="H226">
        <f t="shared" si="22"/>
        <v>48.78266474934302</v>
      </c>
    </row>
    <row r="227" spans="1:8" x14ac:dyDescent="0.35">
      <c r="A227" s="19">
        <v>2898.19</v>
      </c>
      <c r="B227">
        <f t="shared" si="27"/>
        <v>4.7600000000002183</v>
      </c>
      <c r="C227">
        <f t="shared" si="23"/>
        <v>0.38999999999987267</v>
      </c>
      <c r="D227">
        <f t="shared" si="24"/>
        <v>0</v>
      </c>
      <c r="E227">
        <f t="shared" si="25"/>
        <v>6.9992857142857314</v>
      </c>
      <c r="F227">
        <f t="shared" si="26"/>
        <v>75.526428571428582</v>
      </c>
      <c r="G227">
        <f t="shared" si="28"/>
        <v>9.2673331000501458E-2</v>
      </c>
      <c r="H227">
        <f t="shared" si="22"/>
        <v>8.4813391497022792</v>
      </c>
    </row>
    <row r="228" spans="1:8" x14ac:dyDescent="0.35">
      <c r="A228" s="18">
        <v>2898.58</v>
      </c>
      <c r="B228">
        <f t="shared" si="27"/>
        <v>0.38999999999987267</v>
      </c>
      <c r="C228">
        <f t="shared" si="23"/>
        <v>0</v>
      </c>
      <c r="D228">
        <f t="shared" si="24"/>
        <v>20.369999999999891</v>
      </c>
      <c r="E228">
        <f t="shared" si="25"/>
        <v>8.8278571428571535</v>
      </c>
      <c r="F228">
        <f t="shared" si="26"/>
        <v>74.071428571428584</v>
      </c>
      <c r="G228">
        <f t="shared" si="28"/>
        <v>0.11918032786885259</v>
      </c>
      <c r="H228">
        <f t="shared" si="22"/>
        <v>10.648894096967936</v>
      </c>
    </row>
    <row r="229" spans="1:8" x14ac:dyDescent="0.35">
      <c r="A229" s="19">
        <v>2878.21</v>
      </c>
      <c r="B229">
        <f t="shared" si="27"/>
        <v>-20.369999999999891</v>
      </c>
      <c r="C229">
        <f t="shared" si="23"/>
        <v>0</v>
      </c>
      <c r="D229">
        <f t="shared" si="24"/>
        <v>5.0700000000001637</v>
      </c>
      <c r="E229">
        <f t="shared" si="25"/>
        <v>9.6935714285714472</v>
      </c>
      <c r="F229">
        <f t="shared" si="26"/>
        <v>73.709285714285713</v>
      </c>
      <c r="G229">
        <f t="shared" si="28"/>
        <v>0.13151085829465203</v>
      </c>
      <c r="H229">
        <f t="shared" si="22"/>
        <v>11.622589154191374</v>
      </c>
    </row>
    <row r="230" spans="1:8" x14ac:dyDescent="0.35">
      <c r="A230" s="18">
        <v>2873.14</v>
      </c>
      <c r="B230">
        <f t="shared" si="27"/>
        <v>-5.0700000000001637</v>
      </c>
      <c r="C230">
        <f t="shared" si="23"/>
        <v>13.070000000000164</v>
      </c>
      <c r="D230">
        <f t="shared" si="24"/>
        <v>0</v>
      </c>
      <c r="E230">
        <f t="shared" si="25"/>
        <v>8.7600000000000069</v>
      </c>
      <c r="F230">
        <f t="shared" si="26"/>
        <v>74.617142857142866</v>
      </c>
      <c r="G230">
        <f t="shared" si="28"/>
        <v>0.11739929545106456</v>
      </c>
      <c r="H230">
        <f t="shared" si="22"/>
        <v>10.506476595161402</v>
      </c>
    </row>
    <row r="231" spans="1:8" x14ac:dyDescent="0.35">
      <c r="A231" s="19">
        <v>2886.21</v>
      </c>
      <c r="B231">
        <f t="shared" si="27"/>
        <v>13.070000000000164</v>
      </c>
      <c r="C231">
        <f t="shared" si="23"/>
        <v>14.639999999999873</v>
      </c>
      <c r="D231">
        <f t="shared" si="24"/>
        <v>0</v>
      </c>
      <c r="E231">
        <f t="shared" si="25"/>
        <v>7.7142857142857304</v>
      </c>
      <c r="F231">
        <f t="shared" si="26"/>
        <v>75.550714285714292</v>
      </c>
      <c r="G231">
        <f t="shared" si="28"/>
        <v>0.10210738293104936</v>
      </c>
      <c r="H231">
        <f t="shared" si="22"/>
        <v>9.2647399438968563</v>
      </c>
    </row>
    <row r="232" spans="1:8" x14ac:dyDescent="0.35">
      <c r="A232" s="18">
        <v>2900.85</v>
      </c>
      <c r="B232">
        <f t="shared" si="27"/>
        <v>14.639999999999873</v>
      </c>
      <c r="C232">
        <f t="shared" si="23"/>
        <v>0</v>
      </c>
      <c r="D232">
        <f t="shared" si="24"/>
        <v>17.839999999999691</v>
      </c>
      <c r="E232">
        <f t="shared" si="25"/>
        <v>8.1778571428571603</v>
      </c>
      <c r="F232">
        <f t="shared" si="26"/>
        <v>74.276428571428596</v>
      </c>
      <c r="G232">
        <f t="shared" si="28"/>
        <v>0.11010030099916356</v>
      </c>
      <c r="H232">
        <f t="shared" si="22"/>
        <v>9.9180498284763985</v>
      </c>
    </row>
    <row r="233" spans="1:8" x14ac:dyDescent="0.35">
      <c r="A233" s="19">
        <v>2883.01</v>
      </c>
      <c r="B233">
        <f t="shared" si="27"/>
        <v>-17.839999999999691</v>
      </c>
      <c r="C233">
        <f t="shared" si="23"/>
        <v>4.5</v>
      </c>
      <c r="D233">
        <f t="shared" si="24"/>
        <v>0</v>
      </c>
      <c r="E233">
        <f t="shared" si="25"/>
        <v>7.8564285714285882</v>
      </c>
      <c r="F233">
        <f t="shared" si="26"/>
        <v>75.961428571428613</v>
      </c>
      <c r="G233">
        <f t="shared" si="28"/>
        <v>0.1034265510691518</v>
      </c>
      <c r="H233">
        <f t="shared" si="22"/>
        <v>9.3732157313903599</v>
      </c>
    </row>
    <row r="234" spans="1:8" x14ac:dyDescent="0.35">
      <c r="A234" s="18">
        <v>2887.51</v>
      </c>
      <c r="B234">
        <f t="shared" si="27"/>
        <v>4.5</v>
      </c>
      <c r="C234">
        <f t="shared" si="23"/>
        <v>0</v>
      </c>
      <c r="D234">
        <f t="shared" si="24"/>
        <v>5.1500000000000909</v>
      </c>
      <c r="E234">
        <f t="shared" si="25"/>
        <v>9.2571428571428829</v>
      </c>
      <c r="F234">
        <f t="shared" si="26"/>
        <v>75.593571428571451</v>
      </c>
      <c r="G234">
        <f t="shared" si="28"/>
        <v>0.12245939280551098</v>
      </c>
      <c r="H234">
        <f t="shared" si="22"/>
        <v>10.909917417986222</v>
      </c>
    </row>
    <row r="235" spans="1:8" x14ac:dyDescent="0.35">
      <c r="A235" s="19">
        <v>2882.36</v>
      </c>
      <c r="B235">
        <f t="shared" si="27"/>
        <v>-5.1500000000000909</v>
      </c>
      <c r="C235">
        <f t="shared" si="23"/>
        <v>29</v>
      </c>
      <c r="D235">
        <f t="shared" si="24"/>
        <v>0</v>
      </c>
      <c r="E235">
        <f t="shared" si="25"/>
        <v>7.4564285714285949</v>
      </c>
      <c r="F235">
        <f t="shared" si="26"/>
        <v>75.593571428571451</v>
      </c>
      <c r="G235">
        <f t="shared" si="28"/>
        <v>9.8638395177216787E-2</v>
      </c>
      <c r="H235">
        <f t="shared" si="22"/>
        <v>8.9782403027436288</v>
      </c>
    </row>
    <row r="236" spans="1:8" x14ac:dyDescent="0.35">
      <c r="A236" s="18">
        <v>2911.36</v>
      </c>
      <c r="B236">
        <f t="shared" si="27"/>
        <v>29</v>
      </c>
      <c r="C236">
        <f t="shared" si="23"/>
        <v>0</v>
      </c>
      <c r="D236">
        <f t="shared" si="24"/>
        <v>41.970000000000255</v>
      </c>
      <c r="E236">
        <f t="shared" si="25"/>
        <v>7.8528571428571627</v>
      </c>
      <c r="F236">
        <f t="shared" si="26"/>
        <v>72.595714285714294</v>
      </c>
      <c r="G236">
        <f t="shared" si="28"/>
        <v>0.10817246197138779</v>
      </c>
      <c r="H236">
        <f t="shared" si="22"/>
        <v>9.7613382107468993</v>
      </c>
    </row>
    <row r="237" spans="1:8" x14ac:dyDescent="0.35">
      <c r="A237" s="19">
        <v>2869.39</v>
      </c>
      <c r="B237">
        <f t="shared" si="27"/>
        <v>-41.970000000000255</v>
      </c>
      <c r="C237">
        <f t="shared" si="23"/>
        <v>0</v>
      </c>
      <c r="D237">
        <f t="shared" si="24"/>
        <v>5.1700000000000728</v>
      </c>
      <c r="E237">
        <f t="shared" si="25"/>
        <v>7.8528571428571627</v>
      </c>
      <c r="F237">
        <f t="shared" si="26"/>
        <v>72.940000000000012</v>
      </c>
      <c r="G237">
        <f t="shared" si="28"/>
        <v>0.10766187473069867</v>
      </c>
      <c r="H237">
        <f t="shared" si="22"/>
        <v>9.7197418442224688</v>
      </c>
    </row>
    <row r="238" spans="1:8" x14ac:dyDescent="0.35">
      <c r="A238" s="18">
        <v>2864.22</v>
      </c>
      <c r="B238">
        <f t="shared" si="27"/>
        <v>-5.1700000000000728</v>
      </c>
      <c r="C238">
        <f t="shared" si="23"/>
        <v>21.790000000000418</v>
      </c>
      <c r="D238">
        <f t="shared" si="24"/>
        <v>0</v>
      </c>
      <c r="E238">
        <f t="shared" si="25"/>
        <v>6.2964285714285619</v>
      </c>
      <c r="F238">
        <f t="shared" si="26"/>
        <v>73.085000000000008</v>
      </c>
      <c r="G238">
        <f t="shared" si="28"/>
        <v>8.6152132057584471E-2</v>
      </c>
      <c r="H238">
        <f t="shared" si="22"/>
        <v>7.9318660355966557</v>
      </c>
    </row>
    <row r="239" spans="1:8" x14ac:dyDescent="0.35">
      <c r="A239" s="19">
        <v>2886.01</v>
      </c>
      <c r="B239">
        <f t="shared" si="27"/>
        <v>21.790000000000418</v>
      </c>
      <c r="C239">
        <f t="shared" si="23"/>
        <v>14.989999999999782</v>
      </c>
      <c r="D239">
        <f t="shared" si="24"/>
        <v>0</v>
      </c>
      <c r="E239">
        <f t="shared" si="25"/>
        <v>5.2257142857142913</v>
      </c>
      <c r="F239">
        <f t="shared" si="26"/>
        <v>73.474285714285728</v>
      </c>
      <c r="G239">
        <f t="shared" si="28"/>
        <v>7.112303624202837E-2</v>
      </c>
      <c r="H239">
        <f t="shared" si="22"/>
        <v>6.6400435650753309</v>
      </c>
    </row>
    <row r="240" spans="1:8" x14ac:dyDescent="0.35">
      <c r="A240" s="18">
        <v>2901</v>
      </c>
      <c r="B240">
        <f t="shared" si="27"/>
        <v>14.989999999999782</v>
      </c>
      <c r="C240">
        <f t="shared" si="23"/>
        <v>0</v>
      </c>
      <c r="D240">
        <f t="shared" si="24"/>
        <v>7.7199999999997999</v>
      </c>
      <c r="E240">
        <f t="shared" si="25"/>
        <v>5.7842857142857156</v>
      </c>
      <c r="F240">
        <f t="shared" si="26"/>
        <v>72.922857142857168</v>
      </c>
      <c r="G240">
        <f t="shared" si="28"/>
        <v>7.9320612780629227E-2</v>
      </c>
      <c r="H240">
        <f t="shared" si="22"/>
        <v>7.3491242399491767</v>
      </c>
    </row>
    <row r="241" spans="1:8" x14ac:dyDescent="0.35">
      <c r="A241" s="19">
        <v>2893.28</v>
      </c>
      <c r="B241">
        <f t="shared" si="27"/>
        <v>-7.7199999999997999</v>
      </c>
      <c r="C241">
        <f t="shared" si="23"/>
        <v>0</v>
      </c>
      <c r="D241">
        <f t="shared" si="24"/>
        <v>954.08000000000015</v>
      </c>
      <c r="E241">
        <f t="shared" si="25"/>
        <v>6.8585714285714436</v>
      </c>
      <c r="F241">
        <f t="shared" si="26"/>
        <v>4.7742857142857247</v>
      </c>
      <c r="G241">
        <f t="shared" si="28"/>
        <v>1.4365649311789348</v>
      </c>
      <c r="H241">
        <f t="shared" si="22"/>
        <v>58.958614761144538</v>
      </c>
    </row>
    <row r="242" spans="1:8" x14ac:dyDescent="0.35">
      <c r="A242" s="18">
        <v>1939.2</v>
      </c>
      <c r="B242">
        <f t="shared" si="27"/>
        <v>-954.08000000000015</v>
      </c>
      <c r="C242">
        <f t="shared" si="23"/>
        <v>25.599999999999909</v>
      </c>
      <c r="D242">
        <f t="shared" si="24"/>
        <v>0</v>
      </c>
      <c r="E242">
        <f t="shared" si="25"/>
        <v>5.0300000000000216</v>
      </c>
      <c r="F242">
        <f t="shared" si="26"/>
        <v>5.8842857142857383</v>
      </c>
      <c r="G242">
        <f t="shared" si="28"/>
        <v>0.85481913085700434</v>
      </c>
      <c r="H242">
        <f t="shared" si="22"/>
        <v>46.086387434554979</v>
      </c>
    </row>
    <row r="243" spans="1:8" x14ac:dyDescent="0.35">
      <c r="A243" s="19">
        <v>1964.8</v>
      </c>
      <c r="B243">
        <f t="shared" si="27"/>
        <v>25.599999999999909</v>
      </c>
      <c r="C243">
        <f t="shared" si="23"/>
        <v>12.120000000000118</v>
      </c>
      <c r="D243">
        <f t="shared" si="24"/>
        <v>0</v>
      </c>
      <c r="E243">
        <f t="shared" si="25"/>
        <v>4.164285714285727</v>
      </c>
      <c r="F243">
        <f t="shared" si="26"/>
        <v>6.9500000000000126</v>
      </c>
      <c r="G243">
        <f t="shared" si="28"/>
        <v>0.59917780061665027</v>
      </c>
      <c r="H243">
        <f t="shared" si="22"/>
        <v>37.467866323907487</v>
      </c>
    </row>
    <row r="244" spans="1:8" x14ac:dyDescent="0.35">
      <c r="A244" s="18">
        <v>1976.92</v>
      </c>
      <c r="B244">
        <f t="shared" si="27"/>
        <v>12.120000000000118</v>
      </c>
      <c r="C244">
        <f t="shared" si="23"/>
        <v>0</v>
      </c>
      <c r="D244">
        <f t="shared" si="24"/>
        <v>12.710000000000036</v>
      </c>
      <c r="E244">
        <f t="shared" si="25"/>
        <v>4.9892857142857236</v>
      </c>
      <c r="F244">
        <f t="shared" si="26"/>
        <v>6.0421428571428679</v>
      </c>
      <c r="G244">
        <f t="shared" si="28"/>
        <v>0.82574772431729526</v>
      </c>
      <c r="H244">
        <f t="shared" si="22"/>
        <v>45.227920227920229</v>
      </c>
    </row>
    <row r="245" spans="1:8" x14ac:dyDescent="0.35">
      <c r="A245" s="19">
        <v>1964.21</v>
      </c>
      <c r="B245">
        <f t="shared" si="27"/>
        <v>-12.710000000000036</v>
      </c>
      <c r="C245">
        <f t="shared" si="23"/>
        <v>0</v>
      </c>
      <c r="D245">
        <f t="shared" si="24"/>
        <v>13.069999999999936</v>
      </c>
      <c r="E245">
        <f t="shared" si="25"/>
        <v>6.2242857142857213</v>
      </c>
      <c r="F245">
        <f t="shared" si="26"/>
        <v>5.1085714285714436</v>
      </c>
      <c r="G245">
        <f t="shared" si="28"/>
        <v>1.2184004474272909</v>
      </c>
      <c r="H245">
        <f t="shared" si="22"/>
        <v>54.922475734274499</v>
      </c>
    </row>
    <row r="246" spans="1:8" x14ac:dyDescent="0.35">
      <c r="A246" s="18">
        <v>1951.14</v>
      </c>
      <c r="B246">
        <f t="shared" si="27"/>
        <v>-13.069999999999936</v>
      </c>
      <c r="C246">
        <f t="shared" si="23"/>
        <v>6.4900000000000091</v>
      </c>
      <c r="D246">
        <f t="shared" si="24"/>
        <v>0</v>
      </c>
      <c r="E246">
        <f t="shared" si="25"/>
        <v>5.7607142857142923</v>
      </c>
      <c r="F246">
        <f t="shared" si="26"/>
        <v>6.2542857142857269</v>
      </c>
      <c r="G246">
        <f t="shared" si="28"/>
        <v>0.92108268615806221</v>
      </c>
      <c r="H246">
        <f t="shared" si="22"/>
        <v>47.946019856132189</v>
      </c>
    </row>
    <row r="247" spans="1:8" x14ac:dyDescent="0.35">
      <c r="A247" s="19">
        <v>1957.63</v>
      </c>
      <c r="B247">
        <f t="shared" si="27"/>
        <v>6.4900000000000091</v>
      </c>
      <c r="C247">
        <f t="shared" si="23"/>
        <v>0</v>
      </c>
      <c r="D247">
        <f t="shared" si="24"/>
        <v>23.590000000000146</v>
      </c>
      <c r="E247">
        <f t="shared" si="25"/>
        <v>5.9078571428571456</v>
      </c>
      <c r="F247">
        <f t="shared" si="26"/>
        <v>4.5692857142857166</v>
      </c>
      <c r="G247">
        <f t="shared" si="28"/>
        <v>1.2929498202282319</v>
      </c>
      <c r="H247">
        <f t="shared" si="22"/>
        <v>56.388055631306244</v>
      </c>
    </row>
    <row r="248" spans="1:8" x14ac:dyDescent="0.35">
      <c r="A248" s="18">
        <v>1934.04</v>
      </c>
      <c r="B248">
        <f t="shared" si="27"/>
        <v>-23.590000000000146</v>
      </c>
      <c r="C248">
        <f t="shared" si="23"/>
        <v>19.610000000000127</v>
      </c>
      <c r="D248">
        <f t="shared" si="24"/>
        <v>0</v>
      </c>
      <c r="E248">
        <f t="shared" si="25"/>
        <v>5.7557142857142809</v>
      </c>
      <c r="F248">
        <f t="shared" si="26"/>
        <v>4.5692857142857166</v>
      </c>
      <c r="G248">
        <f t="shared" si="28"/>
        <v>1.2596529623260886</v>
      </c>
      <c r="H248">
        <f t="shared" si="22"/>
        <v>55.745416810792079</v>
      </c>
    </row>
    <row r="249" spans="1:8" x14ac:dyDescent="0.35">
      <c r="A249" s="19">
        <v>1953.65</v>
      </c>
      <c r="B249">
        <f t="shared" si="27"/>
        <v>19.610000000000127</v>
      </c>
      <c r="C249">
        <f t="shared" si="23"/>
        <v>3.7899999999999636</v>
      </c>
      <c r="D249">
        <f t="shared" si="24"/>
        <v>0</v>
      </c>
      <c r="E249">
        <f t="shared" si="25"/>
        <v>5.4849999999999977</v>
      </c>
      <c r="F249">
        <f t="shared" si="26"/>
        <v>5.2614285714285769</v>
      </c>
      <c r="G249">
        <f t="shared" si="28"/>
        <v>1.0424925332609272</v>
      </c>
      <c r="H249">
        <f t="shared" si="22"/>
        <v>51.040212695247554</v>
      </c>
    </row>
    <row r="250" spans="1:8" x14ac:dyDescent="0.35">
      <c r="A250" s="18">
        <v>1957.44</v>
      </c>
      <c r="B250">
        <f t="shared" si="27"/>
        <v>3.7899999999999636</v>
      </c>
      <c r="C250">
        <f t="shared" si="23"/>
        <v>5.5499999999999545</v>
      </c>
      <c r="D250">
        <f t="shared" si="24"/>
        <v>0</v>
      </c>
      <c r="E250">
        <f t="shared" si="25"/>
        <v>5.088571428571429</v>
      </c>
      <c r="F250">
        <f t="shared" si="26"/>
        <v>6.0107142857142923</v>
      </c>
      <c r="G250">
        <f t="shared" si="28"/>
        <v>0.84658348187759869</v>
      </c>
      <c r="H250">
        <f t="shared" si="22"/>
        <v>45.845936031919656</v>
      </c>
    </row>
    <row r="251" spans="1:8" x14ac:dyDescent="0.35">
      <c r="A251" s="19">
        <v>1962.99</v>
      </c>
      <c r="B251">
        <f t="shared" si="27"/>
        <v>5.5499999999999545</v>
      </c>
      <c r="C251">
        <f t="shared" si="23"/>
        <v>0</v>
      </c>
      <c r="D251">
        <f t="shared" si="24"/>
        <v>9.9900000000000091</v>
      </c>
      <c r="E251">
        <f t="shared" si="25"/>
        <v>5.5750000000000126</v>
      </c>
      <c r="F251">
        <f t="shared" si="26"/>
        <v>5.2971428571428634</v>
      </c>
      <c r="G251">
        <f t="shared" si="28"/>
        <v>1.0524541531823097</v>
      </c>
      <c r="H251">
        <f t="shared" si="22"/>
        <v>51.277839826555443</v>
      </c>
    </row>
    <row r="252" spans="1:8" x14ac:dyDescent="0.35">
      <c r="A252" s="18">
        <v>1953</v>
      </c>
      <c r="B252">
        <f t="shared" si="27"/>
        <v>-9.9900000000000091</v>
      </c>
      <c r="C252">
        <f t="shared" si="23"/>
        <v>0</v>
      </c>
      <c r="D252">
        <f t="shared" si="24"/>
        <v>2.0299999999999727</v>
      </c>
      <c r="E252">
        <f t="shared" si="25"/>
        <v>5.5750000000000126</v>
      </c>
      <c r="F252">
        <f t="shared" si="26"/>
        <v>6.0542857142857303</v>
      </c>
      <c r="G252">
        <f t="shared" si="28"/>
        <v>0.92083529966965516</v>
      </c>
      <c r="H252">
        <f t="shared" si="22"/>
        <v>47.939315766844778</v>
      </c>
    </row>
    <row r="253" spans="1:8" x14ac:dyDescent="0.35">
      <c r="A253" s="19">
        <v>1950.97</v>
      </c>
      <c r="B253">
        <f t="shared" si="27"/>
        <v>-2.0299999999999727</v>
      </c>
      <c r="C253">
        <f t="shared" si="23"/>
        <v>0</v>
      </c>
      <c r="D253">
        <f t="shared" si="24"/>
        <v>5.4500000000000455</v>
      </c>
      <c r="E253">
        <f t="shared" si="25"/>
        <v>6.2721428571428692</v>
      </c>
      <c r="F253">
        <f t="shared" si="26"/>
        <v>5.6650000000000125</v>
      </c>
      <c r="G253">
        <f t="shared" si="28"/>
        <v>1.1071743790190389</v>
      </c>
      <c r="H253">
        <f t="shared" si="22"/>
        <v>52.54308281474389</v>
      </c>
    </row>
    <row r="254" spans="1:8" x14ac:dyDescent="0.35">
      <c r="A254" s="18">
        <v>1945.52</v>
      </c>
      <c r="B254">
        <f t="shared" si="27"/>
        <v>-5.4500000000000455</v>
      </c>
      <c r="C254">
        <f t="shared" si="23"/>
        <v>7.8199999999999363</v>
      </c>
      <c r="D254">
        <f t="shared" si="24"/>
        <v>0</v>
      </c>
      <c r="E254">
        <f t="shared" si="25"/>
        <v>5.7135714285714458</v>
      </c>
      <c r="F254">
        <f t="shared" si="26"/>
        <v>6.5992857142857213</v>
      </c>
      <c r="G254">
        <f t="shared" si="28"/>
        <v>0.86578634051304426</v>
      </c>
      <c r="H254">
        <f t="shared" si="22"/>
        <v>46.403295045829033</v>
      </c>
    </row>
    <row r="255" spans="1:8" x14ac:dyDescent="0.35">
      <c r="A255" s="19">
        <v>1953.34</v>
      </c>
      <c r="B255">
        <f t="shared" si="27"/>
        <v>7.8199999999999363</v>
      </c>
      <c r="C255">
        <f t="shared" si="23"/>
        <v>15.040000000000191</v>
      </c>
      <c r="D255">
        <f t="shared" si="24"/>
        <v>0</v>
      </c>
      <c r="E255">
        <f t="shared" si="25"/>
        <v>6.1592857142857156</v>
      </c>
      <c r="F255">
        <f t="shared" si="26"/>
        <v>6.5992857142857213</v>
      </c>
      <c r="G255">
        <f t="shared" si="28"/>
        <v>0.93332611754518813</v>
      </c>
      <c r="H255">
        <f t="shared" si="22"/>
        <v>48.275669018027074</v>
      </c>
    </row>
    <row r="256" spans="1:8" x14ac:dyDescent="0.35">
      <c r="A256" s="18">
        <v>1968.38</v>
      </c>
      <c r="B256">
        <f t="shared" si="27"/>
        <v>15.040000000000191</v>
      </c>
      <c r="C256">
        <f t="shared" si="23"/>
        <v>0</v>
      </c>
      <c r="D256">
        <f t="shared" si="24"/>
        <v>15.540000000000191</v>
      </c>
      <c r="E256">
        <f t="shared" si="25"/>
        <v>6.1592857142857156</v>
      </c>
      <c r="F256">
        <f t="shared" si="26"/>
        <v>6.1635714285714256</v>
      </c>
      <c r="G256">
        <f t="shared" si="28"/>
        <v>0.99930467029783354</v>
      </c>
      <c r="H256">
        <f t="shared" si="22"/>
        <v>49.982610711801549</v>
      </c>
    </row>
    <row r="257" spans="1:8" x14ac:dyDescent="0.35">
      <c r="A257" s="19">
        <v>1952.84</v>
      </c>
      <c r="B257">
        <f t="shared" si="27"/>
        <v>-15.540000000000191</v>
      </c>
      <c r="C257">
        <f t="shared" si="23"/>
        <v>0</v>
      </c>
      <c r="D257">
        <f t="shared" si="24"/>
        <v>14.919999999999845</v>
      </c>
      <c r="E257">
        <f t="shared" si="25"/>
        <v>7.1257142857142854</v>
      </c>
      <c r="F257">
        <f t="shared" si="26"/>
        <v>5.0978571428571513</v>
      </c>
      <c r="G257">
        <f t="shared" si="28"/>
        <v>1.3977861846714281</v>
      </c>
      <c r="H257">
        <f t="shared" si="22"/>
        <v>58.294863554023216</v>
      </c>
    </row>
    <row r="258" spans="1:8" x14ac:dyDescent="0.35">
      <c r="A258" s="18">
        <v>1937.92</v>
      </c>
      <c r="B258">
        <f t="shared" si="27"/>
        <v>-14.919999999999845</v>
      </c>
      <c r="C258">
        <f t="shared" si="23"/>
        <v>11.549999999999955</v>
      </c>
      <c r="D258">
        <f t="shared" si="24"/>
        <v>0</v>
      </c>
      <c r="E258">
        <f t="shared" si="25"/>
        <v>6.3007142857142879</v>
      </c>
      <c r="F258">
        <f t="shared" si="26"/>
        <v>7.3528571428571468</v>
      </c>
      <c r="G258">
        <f t="shared" si="28"/>
        <v>0.85690693607926938</v>
      </c>
      <c r="H258">
        <f t="shared" ref="H258:H302" si="29">100 - (100 / (1 + G258))</f>
        <v>46.14700496991891</v>
      </c>
    </row>
    <row r="259" spans="1:8" x14ac:dyDescent="0.35">
      <c r="A259" s="19">
        <v>1949.47</v>
      </c>
      <c r="B259">
        <f t="shared" si="27"/>
        <v>11.549999999999955</v>
      </c>
      <c r="C259">
        <f t="shared" ref="C259:C301" si="30">IF(B260 &gt; 0, B260, 0)</f>
        <v>17.289999999999964</v>
      </c>
      <c r="D259">
        <f t="shared" ref="D259:D301" si="31">IF(B260 &lt; 0, ABS(B260), 0)</f>
        <v>0</v>
      </c>
      <c r="E259">
        <f t="shared" ref="E259:E301" si="32">AVERAGE(C260:C273)</f>
        <v>8.7692857142857132</v>
      </c>
      <c r="F259">
        <f t="shared" ref="F259:F301" si="33">AVERAGE(D260:D273)</f>
        <v>7.3528571428571468</v>
      </c>
      <c r="G259">
        <f t="shared" si="28"/>
        <v>1.1926364872741395</v>
      </c>
      <c r="H259">
        <f t="shared" si="29"/>
        <v>54.392804926675808</v>
      </c>
    </row>
    <row r="260" spans="1:8" x14ac:dyDescent="0.35">
      <c r="A260" s="18">
        <v>1966.76</v>
      </c>
      <c r="B260">
        <f t="shared" ref="B260:B301" si="34">A260-A259</f>
        <v>17.289999999999964</v>
      </c>
      <c r="C260">
        <f t="shared" si="30"/>
        <v>0</v>
      </c>
      <c r="D260">
        <f t="shared" si="31"/>
        <v>16.039999999999964</v>
      </c>
      <c r="E260">
        <f t="shared" si="32"/>
        <v>8.7692857142857132</v>
      </c>
      <c r="F260">
        <f t="shared" si="33"/>
        <v>9.0657142857142912</v>
      </c>
      <c r="G260">
        <f t="shared" si="28"/>
        <v>0.96730223763000245</v>
      </c>
      <c r="H260">
        <f t="shared" si="29"/>
        <v>49.168969522207519</v>
      </c>
    </row>
    <row r="261" spans="1:8" x14ac:dyDescent="0.35">
      <c r="A261" s="19">
        <v>1950.72</v>
      </c>
      <c r="B261">
        <f t="shared" si="34"/>
        <v>-16.039999999999964</v>
      </c>
      <c r="C261">
        <f t="shared" si="30"/>
        <v>2.0599999999999454</v>
      </c>
      <c r="D261">
        <f t="shared" si="31"/>
        <v>0</v>
      </c>
      <c r="E261">
        <f t="shared" si="32"/>
        <v>8.905714285714291</v>
      </c>
      <c r="F261">
        <f t="shared" si="33"/>
        <v>9.0657142857142912</v>
      </c>
      <c r="G261">
        <f t="shared" si="28"/>
        <v>0.98235108729908605</v>
      </c>
      <c r="H261">
        <f t="shared" si="29"/>
        <v>49.554848966613676</v>
      </c>
    </row>
    <row r="262" spans="1:8" x14ac:dyDescent="0.35">
      <c r="A262" s="18">
        <v>1952.78</v>
      </c>
      <c r="B262">
        <f t="shared" si="34"/>
        <v>2.0599999999999454</v>
      </c>
      <c r="C262">
        <f t="shared" si="30"/>
        <v>17.480000000000018</v>
      </c>
      <c r="D262">
        <f t="shared" si="31"/>
        <v>0</v>
      </c>
      <c r="E262">
        <f t="shared" si="32"/>
        <v>8.7678571428571423</v>
      </c>
      <c r="F262">
        <f t="shared" si="33"/>
        <v>9.0657142857142912</v>
      </c>
      <c r="G262">
        <f t="shared" si="28"/>
        <v>0.96714465805231575</v>
      </c>
      <c r="H262">
        <f t="shared" si="29"/>
        <v>49.164897664917675</v>
      </c>
    </row>
    <row r="263" spans="1:8" x14ac:dyDescent="0.35">
      <c r="A263" s="19">
        <v>1970.26</v>
      </c>
      <c r="B263">
        <f t="shared" si="34"/>
        <v>17.480000000000018</v>
      </c>
      <c r="C263">
        <f t="shared" si="30"/>
        <v>0</v>
      </c>
      <c r="D263">
        <f t="shared" si="31"/>
        <v>9.6900000000000546</v>
      </c>
      <c r="E263">
        <f t="shared" si="32"/>
        <v>8.7678571428571423</v>
      </c>
      <c r="F263">
        <f t="shared" si="33"/>
        <v>9.2549999999999955</v>
      </c>
      <c r="G263">
        <f t="shared" si="28"/>
        <v>0.9473643590337274</v>
      </c>
      <c r="H263">
        <f t="shared" si="29"/>
        <v>48.648541534559307</v>
      </c>
    </row>
    <row r="264" spans="1:8" x14ac:dyDescent="0.35">
      <c r="A264" s="18">
        <v>1960.57</v>
      </c>
      <c r="B264">
        <f t="shared" si="34"/>
        <v>-9.6900000000000546</v>
      </c>
      <c r="C264">
        <f t="shared" si="30"/>
        <v>0</v>
      </c>
      <c r="D264">
        <f t="shared" si="31"/>
        <v>10.490000000000009</v>
      </c>
      <c r="E264">
        <f t="shared" si="32"/>
        <v>9.1442857142857132</v>
      </c>
      <c r="F264">
        <f t="shared" si="33"/>
        <v>8.50571428571428</v>
      </c>
      <c r="G264">
        <f t="shared" si="28"/>
        <v>1.0750755794423923</v>
      </c>
      <c r="H264">
        <f t="shared" si="29"/>
        <v>51.808984216916244</v>
      </c>
    </row>
    <row r="265" spans="1:8" x14ac:dyDescent="0.35">
      <c r="A265" s="19">
        <v>1950.08</v>
      </c>
      <c r="B265">
        <f t="shared" si="34"/>
        <v>-10.490000000000009</v>
      </c>
      <c r="C265">
        <f t="shared" si="30"/>
        <v>6.8100000000001728</v>
      </c>
      <c r="D265">
        <f t="shared" si="31"/>
        <v>0</v>
      </c>
      <c r="E265">
        <f t="shared" si="32"/>
        <v>8.6578571428571287</v>
      </c>
      <c r="F265">
        <f t="shared" si="33"/>
        <v>9.4857142857142822</v>
      </c>
      <c r="G265">
        <f t="shared" si="28"/>
        <v>0.91272590361445671</v>
      </c>
      <c r="H265">
        <f t="shared" si="29"/>
        <v>47.7185937561513</v>
      </c>
    </row>
    <row r="266" spans="1:8" x14ac:dyDescent="0.35">
      <c r="A266" s="18">
        <v>1956.89</v>
      </c>
      <c r="B266">
        <f t="shared" si="34"/>
        <v>6.8100000000001728</v>
      </c>
      <c r="C266">
        <f t="shared" si="30"/>
        <v>0</v>
      </c>
      <c r="D266">
        <f t="shared" si="31"/>
        <v>12.630000000000109</v>
      </c>
      <c r="E266">
        <f t="shared" si="32"/>
        <v>10.608571428571411</v>
      </c>
      <c r="F266">
        <f t="shared" si="33"/>
        <v>8.5835714285714175</v>
      </c>
      <c r="G266">
        <f t="shared" si="28"/>
        <v>1.2359157859698755</v>
      </c>
      <c r="H266">
        <f t="shared" si="29"/>
        <v>55.275596412222249</v>
      </c>
    </row>
    <row r="267" spans="1:8" x14ac:dyDescent="0.35">
      <c r="A267" s="19">
        <v>1944.26</v>
      </c>
      <c r="B267">
        <f t="shared" si="34"/>
        <v>-12.630000000000109</v>
      </c>
      <c r="C267">
        <f t="shared" si="30"/>
        <v>9.7599999999999909</v>
      </c>
      <c r="D267">
        <f t="shared" si="31"/>
        <v>0</v>
      </c>
      <c r="E267">
        <f t="shared" si="32"/>
        <v>9.911428571428555</v>
      </c>
      <c r="F267">
        <f t="shared" si="33"/>
        <v>9.0521428571428419</v>
      </c>
      <c r="G267">
        <f t="shared" si="28"/>
        <v>1.0949262210999764</v>
      </c>
      <c r="H267">
        <f t="shared" si="29"/>
        <v>52.265622057327967</v>
      </c>
    </row>
    <row r="268" spans="1:8" x14ac:dyDescent="0.35">
      <c r="A268" s="18">
        <v>1954.02</v>
      </c>
      <c r="B268">
        <f t="shared" si="34"/>
        <v>9.7599999999999909</v>
      </c>
      <c r="C268">
        <f t="shared" si="30"/>
        <v>0</v>
      </c>
      <c r="D268">
        <f t="shared" si="31"/>
        <v>13.079999999999927</v>
      </c>
      <c r="E268">
        <f t="shared" si="32"/>
        <v>9.911428571428555</v>
      </c>
      <c r="F268">
        <f t="shared" si="33"/>
        <v>9.0157142857142709</v>
      </c>
      <c r="G268">
        <f t="shared" si="28"/>
        <v>1.0993503406750118</v>
      </c>
      <c r="H268">
        <f t="shared" si="29"/>
        <v>52.3662163182127</v>
      </c>
    </row>
    <row r="269" spans="1:8" x14ac:dyDescent="0.35">
      <c r="A269" s="19">
        <v>1940.94</v>
      </c>
      <c r="B269">
        <f t="shared" si="34"/>
        <v>-13.079999999999927</v>
      </c>
      <c r="C269">
        <f t="shared" si="30"/>
        <v>21.279999999999973</v>
      </c>
      <c r="D269">
        <f t="shared" si="31"/>
        <v>0</v>
      </c>
      <c r="E269">
        <f t="shared" si="32"/>
        <v>8.4014285714285482</v>
      </c>
      <c r="F269">
        <f t="shared" si="33"/>
        <v>9.0157142857142709</v>
      </c>
      <c r="G269">
        <f t="shared" si="28"/>
        <v>0.93186499762319652</v>
      </c>
      <c r="H269">
        <f t="shared" si="29"/>
        <v>48.236548556430421</v>
      </c>
    </row>
    <row r="270" spans="1:8" x14ac:dyDescent="0.35">
      <c r="A270" s="18">
        <v>1962.22</v>
      </c>
      <c r="B270">
        <f t="shared" si="34"/>
        <v>21.279999999999973</v>
      </c>
      <c r="C270">
        <f t="shared" si="30"/>
        <v>0</v>
      </c>
      <c r="D270">
        <f t="shared" si="31"/>
        <v>9.4400000000000546</v>
      </c>
      <c r="E270">
        <f t="shared" si="32"/>
        <v>8.710714285714273</v>
      </c>
      <c r="F270">
        <f t="shared" si="33"/>
        <v>8.341428571428553</v>
      </c>
      <c r="G270">
        <f t="shared" si="28"/>
        <v>1.044271279328653</v>
      </c>
      <c r="H270">
        <f t="shared" si="29"/>
        <v>51.082813219955611</v>
      </c>
    </row>
    <row r="271" spans="1:8" x14ac:dyDescent="0.35">
      <c r="A271" s="19">
        <v>1952.78</v>
      </c>
      <c r="B271">
        <f t="shared" si="34"/>
        <v>-9.4400000000000546</v>
      </c>
      <c r="C271">
        <f t="shared" si="30"/>
        <v>13.529999999999973</v>
      </c>
      <c r="D271">
        <f t="shared" si="31"/>
        <v>0</v>
      </c>
      <c r="E271">
        <f t="shared" si="32"/>
        <v>7.7442857142857031</v>
      </c>
      <c r="F271">
        <f t="shared" si="33"/>
        <v>8.8435714285714084</v>
      </c>
      <c r="G271">
        <f t="shared" si="28"/>
        <v>0.87569663193603176</v>
      </c>
      <c r="H271">
        <f t="shared" si="29"/>
        <v>46.686474615682748</v>
      </c>
    </row>
    <row r="272" spans="1:8" x14ac:dyDescent="0.35">
      <c r="A272" s="18">
        <v>1966.31</v>
      </c>
      <c r="B272">
        <f t="shared" si="34"/>
        <v>13.529999999999973</v>
      </c>
      <c r="C272">
        <f t="shared" si="30"/>
        <v>0</v>
      </c>
      <c r="D272">
        <f t="shared" si="31"/>
        <v>31.569999999999936</v>
      </c>
      <c r="E272">
        <f t="shared" si="32"/>
        <v>8.1771428571428419</v>
      </c>
      <c r="F272">
        <f t="shared" si="33"/>
        <v>6.588571428571413</v>
      </c>
      <c r="G272">
        <f t="shared" si="28"/>
        <v>1.2411101474414576</v>
      </c>
      <c r="H272">
        <f t="shared" si="29"/>
        <v>55.379256965944286</v>
      </c>
    </row>
    <row r="273" spans="1:8" x14ac:dyDescent="0.35">
      <c r="A273" s="19">
        <v>1934.74</v>
      </c>
      <c r="B273">
        <f t="shared" si="34"/>
        <v>-31.569999999999936</v>
      </c>
      <c r="C273">
        <f t="shared" si="30"/>
        <v>51.849999999999909</v>
      </c>
      <c r="D273">
        <f t="shared" si="31"/>
        <v>0</v>
      </c>
      <c r="E273">
        <f t="shared" si="32"/>
        <v>4.4735714285714199</v>
      </c>
      <c r="F273">
        <f t="shared" si="33"/>
        <v>8.1771428571428419</v>
      </c>
      <c r="G273">
        <f t="shared" ref="G273:G301" si="35">E273/F273</f>
        <v>0.54708245981830883</v>
      </c>
      <c r="H273">
        <f t="shared" si="29"/>
        <v>35.362204279826088</v>
      </c>
    </row>
    <row r="274" spans="1:8" x14ac:dyDescent="0.35">
      <c r="A274" s="18">
        <v>1986.59</v>
      </c>
      <c r="B274">
        <f t="shared" si="34"/>
        <v>51.849999999999909</v>
      </c>
      <c r="C274">
        <f t="shared" si="30"/>
        <v>0</v>
      </c>
      <c r="D274">
        <f t="shared" si="31"/>
        <v>40.019999999999982</v>
      </c>
      <c r="E274">
        <f t="shared" si="32"/>
        <v>6.2707142857142832</v>
      </c>
      <c r="F274">
        <f t="shared" si="33"/>
        <v>5.3185714285714152</v>
      </c>
      <c r="G274">
        <f t="shared" si="35"/>
        <v>1.1790222938490489</v>
      </c>
      <c r="H274">
        <f t="shared" si="29"/>
        <v>54.107858243451517</v>
      </c>
    </row>
    <row r="275" spans="1:8" x14ac:dyDescent="0.35">
      <c r="A275" s="19">
        <v>1946.57</v>
      </c>
      <c r="B275">
        <f t="shared" si="34"/>
        <v>-40.019999999999982</v>
      </c>
      <c r="C275">
        <f t="shared" si="30"/>
        <v>3.9700000000000273</v>
      </c>
      <c r="D275">
        <f t="shared" si="31"/>
        <v>0</v>
      </c>
      <c r="E275">
        <f t="shared" si="32"/>
        <v>5.9871428571428522</v>
      </c>
      <c r="F275">
        <f t="shared" si="33"/>
        <v>5.8585714285714277</v>
      </c>
      <c r="G275">
        <f t="shared" si="35"/>
        <v>1.0219458668617403</v>
      </c>
      <c r="H275">
        <f t="shared" si="29"/>
        <v>50.542691751085364</v>
      </c>
    </row>
    <row r="276" spans="1:8" x14ac:dyDescent="0.35">
      <c r="A276" s="18">
        <v>1950.54</v>
      </c>
      <c r="B276">
        <f t="shared" si="34"/>
        <v>3.9700000000000273</v>
      </c>
      <c r="C276">
        <f t="shared" si="30"/>
        <v>15.549999999999955</v>
      </c>
      <c r="D276">
        <f t="shared" si="31"/>
        <v>0</v>
      </c>
      <c r="E276">
        <f t="shared" si="32"/>
        <v>5.712142857142859</v>
      </c>
      <c r="F276">
        <f t="shared" si="33"/>
        <v>5.8585714285714277</v>
      </c>
      <c r="G276">
        <f t="shared" si="35"/>
        <v>0.97500609607412869</v>
      </c>
      <c r="H276">
        <f t="shared" si="29"/>
        <v>49.367244891659993</v>
      </c>
    </row>
    <row r="277" spans="1:8" x14ac:dyDescent="0.35">
      <c r="A277" s="19">
        <v>1966.09</v>
      </c>
      <c r="B277">
        <f t="shared" si="34"/>
        <v>15.549999999999955</v>
      </c>
      <c r="C277">
        <f t="shared" si="30"/>
        <v>0</v>
      </c>
      <c r="D277">
        <f t="shared" si="31"/>
        <v>12.339999999999918</v>
      </c>
      <c r="E277">
        <f t="shared" si="32"/>
        <v>5.712142857142859</v>
      </c>
      <c r="F277">
        <f t="shared" si="33"/>
        <v>5.3364285714285744</v>
      </c>
      <c r="G277">
        <f t="shared" si="35"/>
        <v>1.0704055681970281</v>
      </c>
      <c r="H277">
        <f t="shared" si="29"/>
        <v>51.700284458236354</v>
      </c>
    </row>
    <row r="278" spans="1:8" x14ac:dyDescent="0.35">
      <c r="A278" s="18">
        <v>1953.75</v>
      </c>
      <c r="B278">
        <f t="shared" si="34"/>
        <v>-12.339999999999918</v>
      </c>
      <c r="C278">
        <f t="shared" si="30"/>
        <v>5.2699999999999818</v>
      </c>
      <c r="D278">
        <f t="shared" si="31"/>
        <v>0</v>
      </c>
      <c r="E278">
        <f t="shared" si="32"/>
        <v>5.335714285714289</v>
      </c>
      <c r="F278">
        <f t="shared" si="33"/>
        <v>7.912857142857141</v>
      </c>
      <c r="G278">
        <f t="shared" si="35"/>
        <v>0.67430944213757049</v>
      </c>
      <c r="H278">
        <f t="shared" si="29"/>
        <v>40.273883976709101</v>
      </c>
    </row>
    <row r="279" spans="1:8" x14ac:dyDescent="0.35">
      <c r="A279" s="19">
        <v>1959.02</v>
      </c>
      <c r="B279">
        <f t="shared" si="34"/>
        <v>5.2699999999999818</v>
      </c>
      <c r="C279">
        <f t="shared" si="30"/>
        <v>0</v>
      </c>
      <c r="D279">
        <f t="shared" si="31"/>
        <v>13.720000000000027</v>
      </c>
      <c r="E279">
        <f t="shared" si="32"/>
        <v>7.4964285714285745</v>
      </c>
      <c r="F279">
        <f t="shared" si="33"/>
        <v>6.9328571428571388</v>
      </c>
      <c r="G279">
        <f t="shared" si="35"/>
        <v>1.081289923758501</v>
      </c>
      <c r="H279">
        <f t="shared" si="29"/>
        <v>51.952873620117835</v>
      </c>
    </row>
    <row r="280" spans="1:8" x14ac:dyDescent="0.35">
      <c r="A280" s="18">
        <v>1945.3</v>
      </c>
      <c r="B280">
        <f t="shared" si="34"/>
        <v>-13.720000000000027</v>
      </c>
      <c r="C280">
        <f t="shared" si="30"/>
        <v>27.309999999999945</v>
      </c>
      <c r="D280">
        <f t="shared" si="31"/>
        <v>0</v>
      </c>
      <c r="E280">
        <f t="shared" si="32"/>
        <v>5.5457142857142925</v>
      </c>
      <c r="F280">
        <f t="shared" si="33"/>
        <v>7.0728571428571412</v>
      </c>
      <c r="G280">
        <f t="shared" si="35"/>
        <v>0.78408402342961137</v>
      </c>
      <c r="H280">
        <f t="shared" si="29"/>
        <v>43.948828257670137</v>
      </c>
    </row>
    <row r="281" spans="1:8" x14ac:dyDescent="0.35">
      <c r="A281" s="19">
        <v>1972.61</v>
      </c>
      <c r="B281">
        <f t="shared" si="34"/>
        <v>27.309999999999945</v>
      </c>
      <c r="C281">
        <f t="shared" si="30"/>
        <v>0</v>
      </c>
      <c r="D281">
        <f t="shared" si="31"/>
        <v>6.5599999999999454</v>
      </c>
      <c r="E281">
        <f t="shared" si="32"/>
        <v>5.5457142857142925</v>
      </c>
      <c r="F281">
        <f t="shared" si="33"/>
        <v>6.838571428571429</v>
      </c>
      <c r="G281">
        <f t="shared" si="35"/>
        <v>0.81094631293085528</v>
      </c>
      <c r="H281">
        <f t="shared" si="29"/>
        <v>44.780251470757904</v>
      </c>
    </row>
    <row r="282" spans="1:8" x14ac:dyDescent="0.35">
      <c r="A282" s="18">
        <v>1966.05</v>
      </c>
      <c r="B282">
        <f t="shared" si="34"/>
        <v>-6.5599999999999454</v>
      </c>
      <c r="C282">
        <f t="shared" si="30"/>
        <v>0</v>
      </c>
      <c r="D282">
        <f t="shared" si="31"/>
        <v>12.569999999999936</v>
      </c>
      <c r="E282">
        <f t="shared" si="32"/>
        <v>5.5457142857142925</v>
      </c>
      <c r="F282">
        <f t="shared" si="33"/>
        <v>6.4135714285714425</v>
      </c>
      <c r="G282">
        <f t="shared" si="35"/>
        <v>0.86468426328098813</v>
      </c>
      <c r="H282">
        <f t="shared" si="29"/>
        <v>46.371617989607572</v>
      </c>
    </row>
    <row r="283" spans="1:8" x14ac:dyDescent="0.35">
      <c r="A283" s="19">
        <v>1953.48</v>
      </c>
      <c r="B283">
        <f t="shared" si="34"/>
        <v>-12.569999999999936</v>
      </c>
      <c r="C283">
        <f t="shared" si="30"/>
        <v>0.13999999999987267</v>
      </c>
      <c r="D283">
        <f t="shared" si="31"/>
        <v>0</v>
      </c>
      <c r="E283">
        <f t="shared" si="32"/>
        <v>8.3592857142857291</v>
      </c>
      <c r="F283">
        <f t="shared" si="33"/>
        <v>6.4135714285714425</v>
      </c>
      <c r="G283">
        <f t="shared" si="35"/>
        <v>1.3033745405947206</v>
      </c>
      <c r="H283">
        <f t="shared" si="29"/>
        <v>56.585436611546271</v>
      </c>
    </row>
    <row r="284" spans="1:8" x14ac:dyDescent="0.35">
      <c r="A284" s="18">
        <v>1953.62</v>
      </c>
      <c r="B284">
        <f t="shared" si="34"/>
        <v>0.13999999999987267</v>
      </c>
      <c r="C284">
        <f t="shared" si="30"/>
        <v>4.3300000000001546</v>
      </c>
      <c r="D284">
        <f t="shared" si="31"/>
        <v>0</v>
      </c>
      <c r="E284">
        <f t="shared" si="32"/>
        <v>8.0500000000000025</v>
      </c>
      <c r="F284">
        <f t="shared" si="33"/>
        <v>8.5985714285714359</v>
      </c>
      <c r="G284">
        <f t="shared" si="35"/>
        <v>0.93620202691476939</v>
      </c>
      <c r="H284">
        <f t="shared" si="29"/>
        <v>48.352496996739298</v>
      </c>
    </row>
    <row r="285" spans="1:8" x14ac:dyDescent="0.35">
      <c r="A285" s="19">
        <v>1957.95</v>
      </c>
      <c r="B285">
        <f t="shared" si="34"/>
        <v>4.3300000000001546</v>
      </c>
      <c r="C285">
        <f t="shared" si="30"/>
        <v>0</v>
      </c>
      <c r="D285">
        <f t="shared" si="31"/>
        <v>7.0299999999999727</v>
      </c>
      <c r="E285">
        <f t="shared" si="32"/>
        <v>8.0500000000000025</v>
      </c>
      <c r="F285">
        <f t="shared" si="33"/>
        <v>8.7642857142857178</v>
      </c>
      <c r="G285">
        <f t="shared" si="35"/>
        <v>0.91850040749796247</v>
      </c>
      <c r="H285">
        <f t="shared" si="29"/>
        <v>47.87595581988105</v>
      </c>
    </row>
    <row r="286" spans="1:8" x14ac:dyDescent="0.35">
      <c r="A286" s="18">
        <v>1950.92</v>
      </c>
      <c r="B286">
        <f t="shared" si="34"/>
        <v>-7.0299999999999727</v>
      </c>
      <c r="C286">
        <f t="shared" si="30"/>
        <v>6.0599999999999454</v>
      </c>
      <c r="D286">
        <f t="shared" si="31"/>
        <v>0</v>
      </c>
      <c r="E286">
        <f t="shared" si="32"/>
        <v>8.0021428571428554</v>
      </c>
      <c r="F286">
        <f t="shared" si="33"/>
        <v>8.7642857142857178</v>
      </c>
      <c r="G286">
        <f t="shared" si="35"/>
        <v>0.91303993480032541</v>
      </c>
      <c r="H286">
        <f t="shared" si="29"/>
        <v>47.727175904230378</v>
      </c>
    </row>
    <row r="287" spans="1:8" x14ac:dyDescent="0.35">
      <c r="A287" s="19">
        <v>1956.98</v>
      </c>
      <c r="B287">
        <f t="shared" si="34"/>
        <v>6.0599999999999454</v>
      </c>
      <c r="C287">
        <f t="shared" si="30"/>
        <v>0</v>
      </c>
      <c r="D287">
        <f t="shared" si="31"/>
        <v>22.240000000000009</v>
      </c>
      <c r="E287">
        <f t="shared" si="32"/>
        <v>8.0021428571428554</v>
      </c>
      <c r="F287">
        <f t="shared" si="33"/>
        <v>7.1757142857142879</v>
      </c>
      <c r="G287">
        <f t="shared" si="35"/>
        <v>1.1151702170017912</v>
      </c>
      <c r="H287">
        <f t="shared" si="29"/>
        <v>52.722481057932129</v>
      </c>
    </row>
    <row r="288" spans="1:8" x14ac:dyDescent="0.35">
      <c r="A288" s="18">
        <v>1934.74</v>
      </c>
      <c r="B288">
        <f t="shared" si="34"/>
        <v>-22.240000000000009</v>
      </c>
      <c r="C288">
        <f t="shared" si="30"/>
        <v>25.160000000000082</v>
      </c>
      <c r="D288">
        <f t="shared" si="31"/>
        <v>0</v>
      </c>
      <c r="E288">
        <f t="shared" si="32"/>
        <v>6.6823076923076838</v>
      </c>
      <c r="F288">
        <f t="shared" si="33"/>
        <v>7.7276923076923101</v>
      </c>
      <c r="G288">
        <f t="shared" si="35"/>
        <v>0.86472227752339104</v>
      </c>
      <c r="H288">
        <f t="shared" si="29"/>
        <v>46.372711258207396</v>
      </c>
    </row>
    <row r="289" spans="1:8" x14ac:dyDescent="0.35">
      <c r="A289" s="19">
        <v>1959.9</v>
      </c>
      <c r="B289">
        <f t="shared" si="34"/>
        <v>25.160000000000082</v>
      </c>
      <c r="C289">
        <f t="shared" si="30"/>
        <v>0</v>
      </c>
      <c r="D289">
        <f t="shared" si="31"/>
        <v>7.5600000000001728</v>
      </c>
      <c r="E289">
        <f t="shared" si="32"/>
        <v>7.2391666666666579</v>
      </c>
      <c r="F289">
        <f t="shared" si="33"/>
        <v>7.7416666666666556</v>
      </c>
      <c r="G289">
        <f t="shared" si="35"/>
        <v>0.93509149623250831</v>
      </c>
      <c r="H289">
        <f t="shared" si="29"/>
        <v>48.322856983923906</v>
      </c>
    </row>
    <row r="290" spans="1:8" x14ac:dyDescent="0.35">
      <c r="A290" s="18">
        <v>1952.34</v>
      </c>
      <c r="B290">
        <f t="shared" si="34"/>
        <v>-7.5600000000001728</v>
      </c>
      <c r="C290">
        <f t="shared" si="30"/>
        <v>11.700000000000045</v>
      </c>
      <c r="D290">
        <f t="shared" si="31"/>
        <v>0</v>
      </c>
      <c r="E290">
        <f t="shared" si="32"/>
        <v>6.8336363636363497</v>
      </c>
      <c r="F290">
        <f t="shared" si="33"/>
        <v>8.4454545454545329</v>
      </c>
      <c r="G290">
        <f t="shared" si="35"/>
        <v>0.80914962325080686</v>
      </c>
      <c r="H290">
        <f t="shared" si="29"/>
        <v>44.725412030701477</v>
      </c>
    </row>
    <row r="291" spans="1:8" x14ac:dyDescent="0.35">
      <c r="A291" s="19">
        <v>1964.04</v>
      </c>
      <c r="B291">
        <f t="shared" si="34"/>
        <v>11.700000000000045</v>
      </c>
      <c r="C291">
        <f t="shared" si="30"/>
        <v>0</v>
      </c>
      <c r="D291">
        <f t="shared" si="31"/>
        <v>5.0299999999999727</v>
      </c>
      <c r="E291">
        <f t="shared" si="32"/>
        <v>7.5169999999999844</v>
      </c>
      <c r="F291">
        <f t="shared" si="33"/>
        <v>8.7869999999999884</v>
      </c>
      <c r="G291">
        <f t="shared" si="35"/>
        <v>0.85546830545123409</v>
      </c>
      <c r="H291">
        <f t="shared" si="29"/>
        <v>46.105250245338553</v>
      </c>
    </row>
    <row r="292" spans="1:8" x14ac:dyDescent="0.35">
      <c r="A292" s="18">
        <v>1959.01</v>
      </c>
      <c r="B292">
        <f t="shared" si="34"/>
        <v>-5.0299999999999727</v>
      </c>
      <c r="C292">
        <f t="shared" si="30"/>
        <v>0</v>
      </c>
      <c r="D292">
        <f t="shared" si="31"/>
        <v>36.069999999999936</v>
      </c>
      <c r="E292">
        <f t="shared" si="32"/>
        <v>8.3522222222222045</v>
      </c>
      <c r="F292">
        <f t="shared" si="33"/>
        <v>5.7555555555555502</v>
      </c>
      <c r="G292">
        <f t="shared" si="35"/>
        <v>1.4511583011582994</v>
      </c>
      <c r="H292">
        <f t="shared" si="29"/>
        <v>59.202961329447874</v>
      </c>
    </row>
    <row r="293" spans="1:8" x14ac:dyDescent="0.35">
      <c r="A293" s="19">
        <v>1922.94</v>
      </c>
      <c r="B293">
        <f t="shared" si="34"/>
        <v>-36.069999999999936</v>
      </c>
      <c r="C293">
        <f t="shared" si="30"/>
        <v>30.25</v>
      </c>
      <c r="D293">
        <f t="shared" si="31"/>
        <v>0</v>
      </c>
      <c r="E293">
        <f t="shared" si="32"/>
        <v>5.6149999999999807</v>
      </c>
      <c r="F293">
        <f t="shared" si="33"/>
        <v>6.4749999999999943</v>
      </c>
      <c r="G293">
        <f t="shared" si="35"/>
        <v>0.86718146718146494</v>
      </c>
      <c r="H293">
        <f t="shared" si="29"/>
        <v>46.443341604631868</v>
      </c>
    </row>
    <row r="294" spans="1:8" x14ac:dyDescent="0.35">
      <c r="A294" s="18">
        <v>1953.19</v>
      </c>
      <c r="B294">
        <f t="shared" si="34"/>
        <v>30.25</v>
      </c>
      <c r="C294">
        <f t="shared" si="30"/>
        <v>0</v>
      </c>
      <c r="D294">
        <f t="shared" si="31"/>
        <v>1.9600000000000364</v>
      </c>
      <c r="E294">
        <f t="shared" si="32"/>
        <v>6.4171428571428351</v>
      </c>
      <c r="F294">
        <f t="shared" si="33"/>
        <v>7.1199999999999886</v>
      </c>
      <c r="G294">
        <f t="shared" si="35"/>
        <v>0.90128410914927604</v>
      </c>
      <c r="H294">
        <f t="shared" si="29"/>
        <v>47.4039679189531</v>
      </c>
    </row>
    <row r="295" spans="1:8" x14ac:dyDescent="0.35">
      <c r="A295" s="19">
        <v>1951.23</v>
      </c>
      <c r="B295">
        <f t="shared" si="34"/>
        <v>-1.9600000000000364</v>
      </c>
      <c r="C295">
        <f t="shared" si="30"/>
        <v>0</v>
      </c>
      <c r="D295">
        <f t="shared" si="31"/>
        <v>3.2799999999999727</v>
      </c>
      <c r="E295">
        <f t="shared" si="32"/>
        <v>7.4866666666666406</v>
      </c>
      <c r="F295">
        <f t="shared" si="33"/>
        <v>7.7599999999999909</v>
      </c>
      <c r="G295">
        <f t="shared" si="35"/>
        <v>0.96477663230240329</v>
      </c>
      <c r="H295">
        <f t="shared" si="29"/>
        <v>49.103629208570126</v>
      </c>
    </row>
    <row r="296" spans="1:8" x14ac:dyDescent="0.35">
      <c r="A296" s="18">
        <v>1947.95</v>
      </c>
      <c r="B296">
        <f t="shared" si="34"/>
        <v>-3.2799999999999727</v>
      </c>
      <c r="C296">
        <f t="shared" si="30"/>
        <v>0</v>
      </c>
      <c r="D296">
        <f t="shared" si="31"/>
        <v>6.6200000000001182</v>
      </c>
      <c r="E296">
        <f t="shared" si="32"/>
        <v>8.9839999999999698</v>
      </c>
      <c r="F296">
        <f t="shared" si="33"/>
        <v>7.9879999999999658</v>
      </c>
      <c r="G296">
        <f t="shared" si="35"/>
        <v>1.1246870305458199</v>
      </c>
      <c r="H296">
        <f t="shared" si="29"/>
        <v>52.934244638227696</v>
      </c>
    </row>
    <row r="297" spans="1:8" x14ac:dyDescent="0.35">
      <c r="A297" s="19">
        <v>1941.33</v>
      </c>
      <c r="B297">
        <f t="shared" si="34"/>
        <v>-6.6200000000001182</v>
      </c>
      <c r="C297">
        <f t="shared" si="30"/>
        <v>39.529999999999973</v>
      </c>
      <c r="D297">
        <f t="shared" si="31"/>
        <v>0</v>
      </c>
      <c r="E297">
        <f t="shared" si="32"/>
        <v>1.3474999999999682</v>
      </c>
      <c r="F297">
        <f t="shared" si="33"/>
        <v>9.9849999999999568</v>
      </c>
      <c r="G297">
        <f t="shared" si="35"/>
        <v>0.13495242864296184</v>
      </c>
      <c r="H297">
        <f t="shared" si="29"/>
        <v>11.890580189719628</v>
      </c>
    </row>
    <row r="298" spans="1:8" x14ac:dyDescent="0.35">
      <c r="A298" s="18">
        <v>1980.86</v>
      </c>
      <c r="B298">
        <f t="shared" si="34"/>
        <v>39.529999999999973</v>
      </c>
      <c r="C298">
        <f t="shared" si="30"/>
        <v>0</v>
      </c>
      <c r="D298">
        <f t="shared" si="31"/>
        <v>30.589999999999918</v>
      </c>
      <c r="E298">
        <f t="shared" si="32"/>
        <v>1.7966666666666242</v>
      </c>
      <c r="F298">
        <f t="shared" si="33"/>
        <v>3.1166666666666365</v>
      </c>
      <c r="G298">
        <f t="shared" si="35"/>
        <v>0.57647058823528607</v>
      </c>
      <c r="H298">
        <f t="shared" si="29"/>
        <v>36.567164179104154</v>
      </c>
    </row>
    <row r="299" spans="1:8" x14ac:dyDescent="0.35">
      <c r="A299" s="19">
        <v>1950.27</v>
      </c>
      <c r="B299">
        <f t="shared" si="34"/>
        <v>-30.589999999999918</v>
      </c>
      <c r="C299">
        <f t="shared" si="30"/>
        <v>0</v>
      </c>
      <c r="D299">
        <f t="shared" si="31"/>
        <v>9.3499999999999091</v>
      </c>
      <c r="E299">
        <f t="shared" si="32"/>
        <v>2.6949999999999363</v>
      </c>
      <c r="F299">
        <f t="shared" si="33"/>
        <v>0</v>
      </c>
      <c r="G299" t="e">
        <f t="shared" si="35"/>
        <v>#DIV/0!</v>
      </c>
      <c r="H299" t="e">
        <f t="shared" si="29"/>
        <v>#DIV/0!</v>
      </c>
    </row>
    <row r="300" spans="1:8" x14ac:dyDescent="0.35">
      <c r="A300" s="18">
        <v>1940.92</v>
      </c>
      <c r="B300">
        <f t="shared" si="34"/>
        <v>-9.3499999999999091</v>
      </c>
      <c r="C300">
        <f t="shared" si="30"/>
        <v>5.3899999999998727</v>
      </c>
      <c r="D300">
        <f t="shared" si="31"/>
        <v>0</v>
      </c>
      <c r="E300">
        <f t="shared" si="32"/>
        <v>0</v>
      </c>
      <c r="F300">
        <f t="shared" si="33"/>
        <v>0</v>
      </c>
      <c r="G300" t="e">
        <f t="shared" si="35"/>
        <v>#DIV/0!</v>
      </c>
      <c r="H300" t="e">
        <f t="shared" si="29"/>
        <v>#DIV/0!</v>
      </c>
    </row>
    <row r="301" spans="1:8" x14ac:dyDescent="0.35">
      <c r="A301" s="19">
        <v>1946.31</v>
      </c>
      <c r="B301">
        <f t="shared" si="34"/>
        <v>5.3899999999998727</v>
      </c>
      <c r="C301">
        <f t="shared" si="30"/>
        <v>0</v>
      </c>
      <c r="D301">
        <f t="shared" si="31"/>
        <v>0</v>
      </c>
      <c r="E301" t="e">
        <f t="shared" si="32"/>
        <v>#DIV/0!</v>
      </c>
      <c r="F301" t="e">
        <f t="shared" si="33"/>
        <v>#DIV/0!</v>
      </c>
      <c r="G301" t="e">
        <f t="shared" si="35"/>
        <v>#DIV/0!</v>
      </c>
      <c r="H301" t="e">
        <f t="shared" si="29"/>
        <v>#DIV/0!</v>
      </c>
    </row>
    <row r="302" spans="1:8" x14ac:dyDescent="0.35">
      <c r="H302">
        <f t="shared" si="2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4374-468D-4771-844A-F6F136579885}">
  <dimension ref="A1:E301"/>
  <sheetViews>
    <sheetView workbookViewId="0">
      <selection activeCell="E4" sqref="E4"/>
    </sheetView>
  </sheetViews>
  <sheetFormatPr defaultRowHeight="14.5" x14ac:dyDescent="0.35"/>
  <cols>
    <col min="1" max="1" width="10.08984375" bestFit="1" customWidth="1"/>
    <col min="2" max="2" width="10.7265625" customWidth="1"/>
    <col min="4" max="4" width="12.1796875" customWidth="1"/>
    <col min="5" max="5" width="11.7265625" style="16" customWidth="1"/>
  </cols>
  <sheetData>
    <row r="1" spans="1:5" x14ac:dyDescent="0.35">
      <c r="A1" s="20" t="s">
        <v>0</v>
      </c>
      <c r="B1" s="17" t="s">
        <v>1</v>
      </c>
      <c r="C1" s="17" t="s">
        <v>5</v>
      </c>
      <c r="D1" t="s">
        <v>90</v>
      </c>
      <c r="E1" s="16" t="s">
        <v>91</v>
      </c>
    </row>
    <row r="2" spans="1:5" x14ac:dyDescent="0.35">
      <c r="A2" s="21" t="s">
        <v>67</v>
      </c>
      <c r="B2" s="18" t="s">
        <v>71</v>
      </c>
      <c r="C2" s="18">
        <v>693.24</v>
      </c>
      <c r="D2">
        <f t="shared" ref="D2:D65" si="0">IF(B2=B1, MAX(D1, C2), C2)</f>
        <v>693.24</v>
      </c>
      <c r="E2" s="16">
        <f>Table5[[#This Row],[Close]]/Table5[[#This Row],[runnig max]]-1</f>
        <v>0</v>
      </c>
    </row>
    <row r="3" spans="1:5" x14ac:dyDescent="0.35">
      <c r="A3" s="22" t="s">
        <v>66</v>
      </c>
      <c r="B3" s="19" t="s">
        <v>71</v>
      </c>
      <c r="C3" s="19">
        <v>680.38</v>
      </c>
      <c r="D3">
        <f t="shared" si="0"/>
        <v>693.24</v>
      </c>
      <c r="E3" s="16">
        <f>Table5[[#This Row],[Close]]/Table5[[#This Row],[runnig max]]-1</f>
        <v>-1.8550574115746343E-2</v>
      </c>
    </row>
    <row r="4" spans="1:5" x14ac:dyDescent="0.35">
      <c r="A4" s="21" t="s">
        <v>65</v>
      </c>
      <c r="B4" s="18" t="s">
        <v>71</v>
      </c>
      <c r="C4" s="18">
        <v>694.41</v>
      </c>
      <c r="D4">
        <f t="shared" si="0"/>
        <v>694.41</v>
      </c>
      <c r="E4" s="16">
        <f>Table5[[#This Row],[Close]]/Table5[[#This Row],[runnig max]]-1</f>
        <v>0</v>
      </c>
    </row>
    <row r="5" spans="1:5" x14ac:dyDescent="0.35">
      <c r="A5" s="22" t="s">
        <v>64</v>
      </c>
      <c r="B5" s="19" t="s">
        <v>71</v>
      </c>
      <c r="C5" s="19">
        <v>686.72</v>
      </c>
      <c r="D5">
        <f t="shared" si="0"/>
        <v>694.41</v>
      </c>
      <c r="E5" s="16">
        <f>Table5[[#This Row],[Close]]/Table5[[#This Row],[runnig max]]-1</f>
        <v>-1.1074149277804146E-2</v>
      </c>
    </row>
    <row r="6" spans="1:5" x14ac:dyDescent="0.35">
      <c r="A6" s="21" t="s">
        <v>63</v>
      </c>
      <c r="B6" s="18" t="s">
        <v>71</v>
      </c>
      <c r="C6" s="18">
        <v>678.92</v>
      </c>
      <c r="D6">
        <f t="shared" si="0"/>
        <v>694.41</v>
      </c>
      <c r="E6" s="16">
        <f>Table5[[#This Row],[Close]]/Table5[[#This Row],[runnig max]]-1</f>
        <v>-2.23067064126381E-2</v>
      </c>
    </row>
    <row r="7" spans="1:5" x14ac:dyDescent="0.35">
      <c r="A7" s="22" t="s">
        <v>62</v>
      </c>
      <c r="B7" s="19" t="s">
        <v>71</v>
      </c>
      <c r="C7" s="19">
        <v>695.72</v>
      </c>
      <c r="D7">
        <f t="shared" si="0"/>
        <v>695.72</v>
      </c>
      <c r="E7" s="16">
        <f>Table5[[#This Row],[Close]]/Table5[[#This Row],[runnig max]]-1</f>
        <v>0</v>
      </c>
    </row>
    <row r="8" spans="1:5" x14ac:dyDescent="0.35">
      <c r="A8" s="21" t="s">
        <v>61</v>
      </c>
      <c r="B8" s="18" t="s">
        <v>71</v>
      </c>
      <c r="C8" s="18">
        <v>688.17</v>
      </c>
      <c r="D8">
        <f t="shared" si="0"/>
        <v>695.72</v>
      </c>
      <c r="E8" s="16">
        <f>Table5[[#This Row],[Close]]/Table5[[#This Row],[runnig max]]-1</f>
        <v>-1.0852066923475068E-2</v>
      </c>
    </row>
    <row r="9" spans="1:5" x14ac:dyDescent="0.35">
      <c r="A9" s="22" t="s">
        <v>60</v>
      </c>
      <c r="B9" s="19" t="s">
        <v>71</v>
      </c>
      <c r="C9" s="19">
        <v>679.16</v>
      </c>
      <c r="D9">
        <f t="shared" si="0"/>
        <v>695.72</v>
      </c>
      <c r="E9" s="16">
        <f>Table5[[#This Row],[Close]]/Table5[[#This Row],[runnig max]]-1</f>
        <v>-2.3802679238774327E-2</v>
      </c>
    </row>
    <row r="10" spans="1:5" x14ac:dyDescent="0.35">
      <c r="A10" s="21" t="s">
        <v>59</v>
      </c>
      <c r="B10" s="18" t="s">
        <v>71</v>
      </c>
      <c r="C10" s="18">
        <v>671.86</v>
      </c>
      <c r="D10">
        <f t="shared" si="0"/>
        <v>695.72</v>
      </c>
      <c r="E10" s="16">
        <f>Table5[[#This Row],[Close]]/Table5[[#This Row],[runnig max]]-1</f>
        <v>-3.4295406197895728E-2</v>
      </c>
    </row>
    <row r="11" spans="1:5" x14ac:dyDescent="0.35">
      <c r="A11" s="22" t="s">
        <v>58</v>
      </c>
      <c r="B11" s="19" t="s">
        <v>71</v>
      </c>
      <c r="C11" s="19">
        <v>670.66</v>
      </c>
      <c r="D11">
        <f t="shared" si="0"/>
        <v>695.72</v>
      </c>
      <c r="E11" s="16">
        <f>Table5[[#This Row],[Close]]/Table5[[#This Row],[runnig max]]-1</f>
        <v>-3.6020238026792439E-2</v>
      </c>
    </row>
    <row r="12" spans="1:5" x14ac:dyDescent="0.35">
      <c r="A12" s="21" t="s">
        <v>57</v>
      </c>
      <c r="B12" s="18" t="s">
        <v>71</v>
      </c>
      <c r="C12" s="18">
        <v>676.81</v>
      </c>
      <c r="D12">
        <f t="shared" si="0"/>
        <v>695.72</v>
      </c>
      <c r="E12" s="16">
        <f>Table5[[#This Row],[Close]]/Table5[[#This Row],[runnig max]]-1</f>
        <v>-2.7180474903697016E-2</v>
      </c>
    </row>
    <row r="13" spans="1:5" x14ac:dyDescent="0.35">
      <c r="A13" s="22" t="s">
        <v>56</v>
      </c>
      <c r="B13" s="19" t="s">
        <v>71</v>
      </c>
      <c r="C13" s="19">
        <v>676.53</v>
      </c>
      <c r="D13">
        <f t="shared" si="0"/>
        <v>695.72</v>
      </c>
      <c r="E13" s="16">
        <f>Table5[[#This Row],[Close]]/Table5[[#This Row],[runnig max]]-1</f>
        <v>-2.7582935663772901E-2</v>
      </c>
    </row>
    <row r="14" spans="1:5" x14ac:dyDescent="0.35">
      <c r="A14" s="21" t="s">
        <v>55</v>
      </c>
      <c r="B14" s="18" t="s">
        <v>71</v>
      </c>
      <c r="C14" s="18">
        <v>685.8</v>
      </c>
      <c r="D14">
        <f t="shared" si="0"/>
        <v>695.72</v>
      </c>
      <c r="E14" s="16">
        <f>Table5[[#This Row],[Close]]/Table5[[#This Row],[runnig max]]-1</f>
        <v>-1.425860978554605E-2</v>
      </c>
    </row>
    <row r="15" spans="1:5" x14ac:dyDescent="0.35">
      <c r="A15" s="22" t="s">
        <v>54</v>
      </c>
      <c r="B15" s="19" t="s">
        <v>71</v>
      </c>
      <c r="C15" s="19">
        <v>668.68</v>
      </c>
      <c r="D15">
        <f t="shared" si="0"/>
        <v>695.72</v>
      </c>
      <c r="E15" s="16">
        <f>Table5[[#This Row],[Close]]/Table5[[#This Row],[runnig max]]-1</f>
        <v>-3.8866210544472035E-2</v>
      </c>
    </row>
    <row r="16" spans="1:5" x14ac:dyDescent="0.35">
      <c r="A16" s="21" t="s">
        <v>53</v>
      </c>
      <c r="B16" s="18" t="s">
        <v>71</v>
      </c>
      <c r="C16" s="18">
        <v>673.56</v>
      </c>
      <c r="D16">
        <f t="shared" si="0"/>
        <v>695.72</v>
      </c>
      <c r="E16" s="16">
        <f>Table5[[#This Row],[Close]]/Table5[[#This Row],[runnig max]]-1</f>
        <v>-3.1851894440292239E-2</v>
      </c>
    </row>
    <row r="17" spans="1:5" x14ac:dyDescent="0.35">
      <c r="A17" s="22" t="s">
        <v>52</v>
      </c>
      <c r="B17" s="19" t="s">
        <v>71</v>
      </c>
      <c r="C17" s="19">
        <v>683.06</v>
      </c>
      <c r="D17">
        <f t="shared" si="0"/>
        <v>695.72</v>
      </c>
      <c r="E17" s="16">
        <f>Table5[[#This Row],[Close]]/Table5[[#This Row],[runnig max]]-1</f>
        <v>-1.8196975794860126E-2</v>
      </c>
    </row>
    <row r="18" spans="1:5" x14ac:dyDescent="0.35">
      <c r="A18" s="21" t="s">
        <v>51</v>
      </c>
      <c r="B18" s="18" t="s">
        <v>71</v>
      </c>
      <c r="C18" s="18">
        <v>700.68</v>
      </c>
      <c r="D18">
        <f t="shared" si="0"/>
        <v>700.68</v>
      </c>
      <c r="E18" s="16">
        <f>Table5[[#This Row],[Close]]/Table5[[#This Row],[runnig max]]-1</f>
        <v>0</v>
      </c>
    </row>
    <row r="19" spans="1:5" x14ac:dyDescent="0.35">
      <c r="A19" s="22" t="s">
        <v>50</v>
      </c>
      <c r="B19" s="19" t="s">
        <v>71</v>
      </c>
      <c r="C19" s="19">
        <v>696.82</v>
      </c>
      <c r="D19">
        <f t="shared" si="0"/>
        <v>700.68</v>
      </c>
      <c r="E19" s="16">
        <f>Table5[[#This Row],[Close]]/Table5[[#This Row],[runnig max]]-1</f>
        <v>-5.508934178226732E-3</v>
      </c>
    </row>
    <row r="20" spans="1:5" x14ac:dyDescent="0.35">
      <c r="A20" s="21" t="s">
        <v>49</v>
      </c>
      <c r="B20" s="18" t="s">
        <v>71</v>
      </c>
      <c r="C20" s="18">
        <v>684.59</v>
      </c>
      <c r="D20">
        <f t="shared" si="0"/>
        <v>700.68</v>
      </c>
      <c r="E20" s="16">
        <f>Table5[[#This Row],[Close]]/Table5[[#This Row],[runnig max]]-1</f>
        <v>-2.2963406976080236E-2</v>
      </c>
    </row>
    <row r="21" spans="1:5" x14ac:dyDescent="0.35">
      <c r="A21" s="22" t="s">
        <v>48</v>
      </c>
      <c r="B21" s="19" t="s">
        <v>71</v>
      </c>
      <c r="C21" s="19">
        <v>680.63</v>
      </c>
      <c r="D21">
        <f t="shared" si="0"/>
        <v>700.68</v>
      </c>
      <c r="E21" s="16">
        <f>Table5[[#This Row],[Close]]/Table5[[#This Row],[runnig max]]-1</f>
        <v>-2.8615059656333819E-2</v>
      </c>
    </row>
    <row r="22" spans="1:5" x14ac:dyDescent="0.35">
      <c r="A22" s="21" t="s">
        <v>47</v>
      </c>
      <c r="B22" s="18" t="s">
        <v>71</v>
      </c>
      <c r="C22" s="18">
        <v>691.07</v>
      </c>
      <c r="D22">
        <f t="shared" si="0"/>
        <v>700.68</v>
      </c>
      <c r="E22" s="16">
        <f>Table5[[#This Row],[Close]]/Table5[[#This Row],[runnig max]]-1</f>
        <v>-1.3715248044756434E-2</v>
      </c>
    </row>
    <row r="23" spans="1:5" x14ac:dyDescent="0.35">
      <c r="A23" s="22" t="s">
        <v>46</v>
      </c>
      <c r="B23" s="19" t="s">
        <v>71</v>
      </c>
      <c r="C23" s="19">
        <v>687.36</v>
      </c>
      <c r="D23">
        <f t="shared" si="0"/>
        <v>700.68</v>
      </c>
      <c r="E23" s="16">
        <f>Table5[[#This Row],[Close]]/Table5[[#This Row],[runnig max]]-1</f>
        <v>-1.9010104469943445E-2</v>
      </c>
    </row>
    <row r="24" spans="1:5" x14ac:dyDescent="0.35">
      <c r="A24" s="21" t="s">
        <v>45</v>
      </c>
      <c r="B24" s="18" t="s">
        <v>71</v>
      </c>
      <c r="C24" s="18">
        <v>695.69</v>
      </c>
      <c r="D24">
        <f t="shared" si="0"/>
        <v>700.68</v>
      </c>
      <c r="E24" s="16">
        <f>Table5[[#This Row],[Close]]/Table5[[#This Row],[runnig max]]-1</f>
        <v>-7.1216532511273467E-3</v>
      </c>
    </row>
    <row r="25" spans="1:5" x14ac:dyDescent="0.35">
      <c r="A25" s="22" t="s">
        <v>44</v>
      </c>
      <c r="B25" s="19" t="s">
        <v>71</v>
      </c>
      <c r="C25" s="19">
        <v>652.79</v>
      </c>
      <c r="D25">
        <f t="shared" si="0"/>
        <v>700.68</v>
      </c>
      <c r="E25" s="16">
        <f>Table5[[#This Row],[Close]]/Table5[[#This Row],[runnig max]]-1</f>
        <v>-6.8347890620540031E-2</v>
      </c>
    </row>
    <row r="26" spans="1:5" x14ac:dyDescent="0.35">
      <c r="A26" s="21" t="s">
        <v>43</v>
      </c>
      <c r="B26" s="18" t="s">
        <v>71</v>
      </c>
      <c r="C26" s="18">
        <v>672.17</v>
      </c>
      <c r="D26">
        <f t="shared" si="0"/>
        <v>700.68</v>
      </c>
      <c r="E26" s="16">
        <f>Table5[[#This Row],[Close]]/Table5[[#This Row],[runnig max]]-1</f>
        <v>-4.0689044927784468E-2</v>
      </c>
    </row>
    <row r="27" spans="1:5" x14ac:dyDescent="0.35">
      <c r="A27" s="22" t="s">
        <v>42</v>
      </c>
      <c r="B27" s="19" t="s">
        <v>71</v>
      </c>
      <c r="C27" s="19">
        <v>684.8</v>
      </c>
      <c r="D27">
        <f t="shared" si="0"/>
        <v>700.68</v>
      </c>
      <c r="E27" s="16">
        <f>Table5[[#This Row],[Close]]/Table5[[#This Row],[runnig max]]-1</f>
        <v>-2.266369812182456E-2</v>
      </c>
    </row>
    <row r="28" spans="1:5" x14ac:dyDescent="0.35">
      <c r="A28" s="21" t="s">
        <v>41</v>
      </c>
      <c r="B28" s="18" t="s">
        <v>71</v>
      </c>
      <c r="C28" s="18">
        <v>674.04</v>
      </c>
      <c r="D28">
        <f t="shared" si="0"/>
        <v>700.68</v>
      </c>
      <c r="E28" s="16">
        <f>Table5[[#This Row],[Close]]/Table5[[#This Row],[runnig max]]-1</f>
        <v>-3.8020208939887001E-2</v>
      </c>
    </row>
    <row r="29" spans="1:5" x14ac:dyDescent="0.35">
      <c r="A29" s="22" t="s">
        <v>40</v>
      </c>
      <c r="B29" s="19" t="s">
        <v>71</v>
      </c>
      <c r="C29" s="19">
        <v>676.46</v>
      </c>
      <c r="D29">
        <f t="shared" si="0"/>
        <v>700.68</v>
      </c>
      <c r="E29" s="16">
        <f>Table5[[#This Row],[Close]]/Table5[[#This Row],[runnig max]]-1</f>
        <v>-3.4566421190843077E-2</v>
      </c>
    </row>
    <row r="30" spans="1:5" x14ac:dyDescent="0.35">
      <c r="A30" s="21" t="s">
        <v>39</v>
      </c>
      <c r="B30" s="18" t="s">
        <v>71</v>
      </c>
      <c r="C30" s="18">
        <v>694.1</v>
      </c>
      <c r="D30">
        <f t="shared" si="0"/>
        <v>700.68</v>
      </c>
      <c r="E30" s="16">
        <f>Table5[[#This Row],[Close]]/Table5[[#This Row],[runnig max]]-1</f>
        <v>-9.3908774333503198E-3</v>
      </c>
    </row>
    <row r="31" spans="1:5" x14ac:dyDescent="0.35">
      <c r="A31" s="22" t="s">
        <v>38</v>
      </c>
      <c r="B31" s="19" t="s">
        <v>71</v>
      </c>
      <c r="C31" s="19">
        <v>682.67</v>
      </c>
      <c r="D31">
        <f t="shared" si="0"/>
        <v>700.68</v>
      </c>
      <c r="E31" s="16">
        <f>Table5[[#This Row],[Close]]/Table5[[#This Row],[runnig max]]-1</f>
        <v>-2.5703602214991128E-2</v>
      </c>
    </row>
    <row r="32" spans="1:5" x14ac:dyDescent="0.35">
      <c r="A32" s="21" t="s">
        <v>37</v>
      </c>
      <c r="B32" s="18" t="s">
        <v>71</v>
      </c>
      <c r="C32" s="18">
        <v>680.89</v>
      </c>
      <c r="D32">
        <f t="shared" si="0"/>
        <v>700.68</v>
      </c>
      <c r="E32" s="16">
        <f>Table5[[#This Row],[Close]]/Table5[[#This Row],[runnig max]]-1</f>
        <v>-2.8243991551064607E-2</v>
      </c>
    </row>
    <row r="33" spans="1:5" x14ac:dyDescent="0.35">
      <c r="A33" s="22" t="s">
        <v>36</v>
      </c>
      <c r="B33" s="19" t="s">
        <v>71</v>
      </c>
      <c r="C33" s="19">
        <v>687.58</v>
      </c>
      <c r="D33">
        <f t="shared" si="0"/>
        <v>700.68</v>
      </c>
      <c r="E33" s="16">
        <f>Table5[[#This Row],[Close]]/Table5[[#This Row],[runnig max]]-1</f>
        <v>-1.8696123765484796E-2</v>
      </c>
    </row>
    <row r="34" spans="1:5" x14ac:dyDescent="0.35">
      <c r="A34" s="21" t="s">
        <v>35</v>
      </c>
      <c r="B34" s="18" t="s">
        <v>71</v>
      </c>
      <c r="C34" s="18">
        <v>679.5</v>
      </c>
      <c r="D34">
        <f t="shared" si="0"/>
        <v>700.68</v>
      </c>
      <c r="E34" s="16">
        <f>Table5[[#This Row],[Close]]/Table5[[#This Row],[runnig max]]-1</f>
        <v>-3.0227778729234434E-2</v>
      </c>
    </row>
    <row r="35" spans="1:5" x14ac:dyDescent="0.35">
      <c r="A35" s="22" t="s">
        <v>34</v>
      </c>
      <c r="B35" s="19" t="s">
        <v>71</v>
      </c>
      <c r="C35" s="19">
        <v>694.65</v>
      </c>
      <c r="D35">
        <f t="shared" si="0"/>
        <v>700.68</v>
      </c>
      <c r="E35" s="16">
        <f>Table5[[#This Row],[Close]]/Table5[[#This Row],[runnig max]]-1</f>
        <v>-8.6059256722040844E-3</v>
      </c>
    </row>
    <row r="36" spans="1:5" x14ac:dyDescent="0.35">
      <c r="A36" s="21" t="s">
        <v>33</v>
      </c>
      <c r="B36" s="18" t="s">
        <v>71</v>
      </c>
      <c r="C36" s="18">
        <v>691.69</v>
      </c>
      <c r="D36">
        <f t="shared" si="0"/>
        <v>700.68</v>
      </c>
      <c r="E36" s="16">
        <f>Table5[[#This Row],[Close]]/Table5[[#This Row],[runnig max]]-1</f>
        <v>-1.2830393332191492E-2</v>
      </c>
    </row>
    <row r="37" spans="1:5" x14ac:dyDescent="0.35">
      <c r="A37" s="22" t="s">
        <v>32</v>
      </c>
      <c r="B37" s="19" t="s">
        <v>71</v>
      </c>
      <c r="C37" s="19">
        <v>688.08</v>
      </c>
      <c r="D37">
        <f t="shared" si="0"/>
        <v>700.68</v>
      </c>
      <c r="E37" s="16">
        <f>Table5[[#This Row],[Close]]/Table5[[#This Row],[runnig max]]-1</f>
        <v>-1.7982531255351764E-2</v>
      </c>
    </row>
    <row r="38" spans="1:5" x14ac:dyDescent="0.35">
      <c r="A38" s="21" t="s">
        <v>31</v>
      </c>
      <c r="B38" s="18" t="s">
        <v>71</v>
      </c>
      <c r="C38" s="18">
        <v>694.3</v>
      </c>
      <c r="D38">
        <f t="shared" si="0"/>
        <v>700.68</v>
      </c>
      <c r="E38" s="16">
        <f>Table5[[#This Row],[Close]]/Table5[[#This Row],[runnig max]]-1</f>
        <v>-9.1054404292972846E-3</v>
      </c>
    </row>
    <row r="39" spans="1:5" x14ac:dyDescent="0.35">
      <c r="A39" s="22" t="s">
        <v>30</v>
      </c>
      <c r="B39" s="19" t="s">
        <v>71</v>
      </c>
      <c r="C39" s="19">
        <v>681.61</v>
      </c>
      <c r="D39">
        <f t="shared" si="0"/>
        <v>700.68</v>
      </c>
      <c r="E39" s="16">
        <f>Table5[[#This Row],[Close]]/Table5[[#This Row],[runnig max]]-1</f>
        <v>-2.7216418336473036E-2</v>
      </c>
    </row>
    <row r="40" spans="1:5" x14ac:dyDescent="0.35">
      <c r="A40" s="21" t="s">
        <v>29</v>
      </c>
      <c r="B40" s="18" t="s">
        <v>71</v>
      </c>
      <c r="C40" s="18">
        <v>655.75</v>
      </c>
      <c r="D40">
        <f t="shared" si="0"/>
        <v>700.68</v>
      </c>
      <c r="E40" s="16">
        <f>Table5[[#This Row],[Close]]/Table5[[#This Row],[runnig max]]-1</f>
        <v>-6.4123422960552512E-2</v>
      </c>
    </row>
    <row r="41" spans="1:5" x14ac:dyDescent="0.35">
      <c r="A41" s="22" t="s">
        <v>28</v>
      </c>
      <c r="B41" s="19" t="s">
        <v>71</v>
      </c>
      <c r="C41" s="19">
        <v>688.32</v>
      </c>
      <c r="D41">
        <f t="shared" si="0"/>
        <v>700.68</v>
      </c>
      <c r="E41" s="16">
        <f>Table5[[#This Row],[Close]]/Table5[[#This Row],[runnig max]]-1</f>
        <v>-1.7640006850487944E-2</v>
      </c>
    </row>
    <row r="42" spans="1:5" x14ac:dyDescent="0.35">
      <c r="A42" s="21" t="s">
        <v>27</v>
      </c>
      <c r="B42" s="18" t="s">
        <v>71</v>
      </c>
      <c r="C42" s="18">
        <v>680.01</v>
      </c>
      <c r="D42">
        <f t="shared" si="0"/>
        <v>700.68</v>
      </c>
      <c r="E42" s="16">
        <f>Table5[[#This Row],[Close]]/Table5[[#This Row],[runnig max]]-1</f>
        <v>-2.9499914368898761E-2</v>
      </c>
    </row>
    <row r="43" spans="1:5" x14ac:dyDescent="0.35">
      <c r="A43" s="22" t="s">
        <v>26</v>
      </c>
      <c r="B43" s="19" t="s">
        <v>71</v>
      </c>
      <c r="C43" s="19">
        <v>678.3</v>
      </c>
      <c r="D43">
        <f t="shared" si="0"/>
        <v>700.68</v>
      </c>
      <c r="E43" s="16">
        <f>Table5[[#This Row],[Close]]/Table5[[#This Row],[runnig max]]-1</f>
        <v>-3.1940400753553644E-2</v>
      </c>
    </row>
    <row r="44" spans="1:5" x14ac:dyDescent="0.35">
      <c r="A44" s="21" t="s">
        <v>25</v>
      </c>
      <c r="B44" s="18" t="s">
        <v>71</v>
      </c>
      <c r="C44" s="18">
        <v>673.87</v>
      </c>
      <c r="D44">
        <f t="shared" si="0"/>
        <v>700.68</v>
      </c>
      <c r="E44" s="16">
        <f>Table5[[#This Row],[Close]]/Table5[[#This Row],[runnig max]]-1</f>
        <v>-3.8262830393332115E-2</v>
      </c>
    </row>
    <row r="45" spans="1:5" x14ac:dyDescent="0.35">
      <c r="A45" s="22" t="s">
        <v>24</v>
      </c>
      <c r="B45" s="19" t="s">
        <v>71</v>
      </c>
      <c r="C45" s="19">
        <v>677.21</v>
      </c>
      <c r="D45">
        <f t="shared" si="0"/>
        <v>700.68</v>
      </c>
      <c r="E45" s="16">
        <f>Table5[[#This Row],[Close]]/Table5[[#This Row],[runnig max]]-1</f>
        <v>-3.3496032425643585E-2</v>
      </c>
    </row>
    <row r="46" spans="1:5" x14ac:dyDescent="0.35">
      <c r="A46" s="21" t="s">
        <v>23</v>
      </c>
      <c r="B46" s="18" t="s">
        <v>71</v>
      </c>
      <c r="C46" s="18">
        <v>704.89</v>
      </c>
      <c r="D46">
        <f t="shared" si="0"/>
        <v>704.89</v>
      </c>
      <c r="E46" s="16">
        <f>Table5[[#This Row],[Close]]/Table5[[#This Row],[runnig max]]-1</f>
        <v>0</v>
      </c>
    </row>
    <row r="47" spans="1:5" x14ac:dyDescent="0.35">
      <c r="A47" s="22" t="s">
        <v>22</v>
      </c>
      <c r="B47" s="19" t="s">
        <v>71</v>
      </c>
      <c r="C47" s="19">
        <v>679.38</v>
      </c>
      <c r="D47">
        <f t="shared" si="0"/>
        <v>704.89</v>
      </c>
      <c r="E47" s="16">
        <f>Table5[[#This Row],[Close]]/Table5[[#This Row],[runnig max]]-1</f>
        <v>-3.6190043836626939E-2</v>
      </c>
    </row>
    <row r="48" spans="1:5" x14ac:dyDescent="0.35">
      <c r="A48" s="21" t="s">
        <v>21</v>
      </c>
      <c r="B48" s="18" t="s">
        <v>71</v>
      </c>
      <c r="C48" s="18">
        <v>676.72</v>
      </c>
      <c r="D48">
        <f t="shared" si="0"/>
        <v>704.89</v>
      </c>
      <c r="E48" s="16">
        <f>Table5[[#This Row],[Close]]/Table5[[#This Row],[runnig max]]-1</f>
        <v>-3.9963682276667245E-2</v>
      </c>
    </row>
    <row r="49" spans="1:5" x14ac:dyDescent="0.35">
      <c r="A49" s="22" t="s">
        <v>20</v>
      </c>
      <c r="B49" s="19" t="s">
        <v>71</v>
      </c>
      <c r="C49" s="19">
        <v>681.61</v>
      </c>
      <c r="D49">
        <f t="shared" si="0"/>
        <v>704.89</v>
      </c>
      <c r="E49" s="16">
        <f>Table5[[#This Row],[Close]]/Table5[[#This Row],[runnig max]]-1</f>
        <v>-3.3026429655690914E-2</v>
      </c>
    </row>
    <row r="50" spans="1:5" x14ac:dyDescent="0.35">
      <c r="A50" s="21" t="s">
        <v>19</v>
      </c>
      <c r="B50" s="18" t="s">
        <v>71</v>
      </c>
      <c r="C50" s="18">
        <v>675.91</v>
      </c>
      <c r="D50">
        <f t="shared" si="0"/>
        <v>704.89</v>
      </c>
      <c r="E50" s="16">
        <f>Table5[[#This Row],[Close]]/Table5[[#This Row],[runnig max]]-1</f>
        <v>-4.1112797741491569E-2</v>
      </c>
    </row>
    <row r="51" spans="1:5" x14ac:dyDescent="0.35">
      <c r="A51" s="22" t="s">
        <v>18</v>
      </c>
      <c r="B51" s="19" t="s">
        <v>71</v>
      </c>
      <c r="C51" s="19">
        <v>683.44</v>
      </c>
      <c r="D51">
        <f t="shared" si="0"/>
        <v>704.89</v>
      </c>
      <c r="E51" s="16">
        <f>Table5[[#This Row],[Close]]/Table5[[#This Row],[runnig max]]-1</f>
        <v>-3.0430279901828561E-2</v>
      </c>
    </row>
    <row r="52" spans="1:5" x14ac:dyDescent="0.35">
      <c r="A52" s="21" t="s">
        <v>17</v>
      </c>
      <c r="B52" s="18" t="s">
        <v>71</v>
      </c>
      <c r="C52" s="18">
        <v>691.23</v>
      </c>
      <c r="D52">
        <f t="shared" si="0"/>
        <v>704.89</v>
      </c>
      <c r="E52" s="16">
        <f>Table5[[#This Row],[Close]]/Table5[[#This Row],[runnig max]]-1</f>
        <v>-1.9378910184567721E-2</v>
      </c>
    </row>
    <row r="53" spans="1:5" x14ac:dyDescent="0.35">
      <c r="A53" s="22" t="s">
        <v>16</v>
      </c>
      <c r="B53" s="19" t="s">
        <v>71</v>
      </c>
      <c r="C53" s="19">
        <v>690.2</v>
      </c>
      <c r="D53">
        <f t="shared" si="0"/>
        <v>704.89</v>
      </c>
      <c r="E53" s="16">
        <f>Table5[[#This Row],[Close]]/Table5[[#This Row],[runnig max]]-1</f>
        <v>-2.084013108428262E-2</v>
      </c>
    </row>
    <row r="54" spans="1:5" x14ac:dyDescent="0.35">
      <c r="A54" s="21" t="s">
        <v>15</v>
      </c>
      <c r="B54" s="18" t="s">
        <v>71</v>
      </c>
      <c r="C54" s="18">
        <v>679.76</v>
      </c>
      <c r="D54">
        <f t="shared" si="0"/>
        <v>704.89</v>
      </c>
      <c r="E54" s="16">
        <f>Table5[[#This Row],[Close]]/Table5[[#This Row],[runnig max]]-1</f>
        <v>-3.5650952630906896E-2</v>
      </c>
    </row>
    <row r="55" spans="1:5" x14ac:dyDescent="0.35">
      <c r="A55" s="22" t="s">
        <v>14</v>
      </c>
      <c r="B55" s="19" t="s">
        <v>71</v>
      </c>
      <c r="C55" s="19">
        <v>689.21</v>
      </c>
      <c r="D55">
        <f t="shared" si="0"/>
        <v>704.89</v>
      </c>
      <c r="E55" s="16">
        <f>Table5[[#This Row],[Close]]/Table5[[#This Row],[runnig max]]-1</f>
        <v>-2.2244605541290041E-2</v>
      </c>
    </row>
    <row r="56" spans="1:5" x14ac:dyDescent="0.35">
      <c r="A56" s="21" t="s">
        <v>13</v>
      </c>
      <c r="B56" s="18" t="s">
        <v>71</v>
      </c>
      <c r="C56" s="18">
        <v>671.79</v>
      </c>
      <c r="D56">
        <f t="shared" si="0"/>
        <v>704.89</v>
      </c>
      <c r="E56" s="16">
        <f>Table5[[#This Row],[Close]]/Table5[[#This Row],[runnig max]]-1</f>
        <v>-4.6957681340351054E-2</v>
      </c>
    </row>
    <row r="57" spans="1:5" x14ac:dyDescent="0.35">
      <c r="A57" s="22" t="s">
        <v>12</v>
      </c>
      <c r="B57" s="19" t="s">
        <v>71</v>
      </c>
      <c r="C57" s="19">
        <v>679.61</v>
      </c>
      <c r="D57">
        <f t="shared" si="0"/>
        <v>704.89</v>
      </c>
      <c r="E57" s="16">
        <f>Table5[[#This Row],[Close]]/Table5[[#This Row],[runnig max]]-1</f>
        <v>-3.5863751791059606E-2</v>
      </c>
    </row>
    <row r="58" spans="1:5" x14ac:dyDescent="0.35">
      <c r="A58" s="21" t="s">
        <v>11</v>
      </c>
      <c r="B58" s="18" t="s">
        <v>71</v>
      </c>
      <c r="C58" s="18">
        <v>686.61</v>
      </c>
      <c r="D58">
        <f t="shared" si="0"/>
        <v>704.89</v>
      </c>
      <c r="E58" s="16">
        <f>Table5[[#This Row],[Close]]/Table5[[#This Row],[runnig max]]-1</f>
        <v>-2.5933124317269352E-2</v>
      </c>
    </row>
    <row r="59" spans="1:5" x14ac:dyDescent="0.35">
      <c r="A59" s="22" t="s">
        <v>10</v>
      </c>
      <c r="B59" s="19" t="s">
        <v>71</v>
      </c>
      <c r="C59" s="19">
        <v>685.43</v>
      </c>
      <c r="D59">
        <f t="shared" si="0"/>
        <v>704.89</v>
      </c>
      <c r="E59" s="16">
        <f>Table5[[#This Row],[Close]]/Table5[[#This Row],[runnig max]]-1</f>
        <v>-2.7607144377136961E-2</v>
      </c>
    </row>
    <row r="60" spans="1:5" x14ac:dyDescent="0.35">
      <c r="A60" s="21" t="s">
        <v>9</v>
      </c>
      <c r="B60" s="18" t="s">
        <v>71</v>
      </c>
      <c r="C60" s="18">
        <v>667.77</v>
      </c>
      <c r="D60">
        <f t="shared" si="0"/>
        <v>704.89</v>
      </c>
      <c r="E60" s="16">
        <f>Table5[[#This Row],[Close]]/Table5[[#This Row],[runnig max]]-1</f>
        <v>-5.2660698832441954E-2</v>
      </c>
    </row>
    <row r="61" spans="1:5" x14ac:dyDescent="0.35">
      <c r="A61" s="22" t="s">
        <v>8</v>
      </c>
      <c r="B61" s="19" t="s">
        <v>71</v>
      </c>
      <c r="C61" s="19">
        <v>692.82</v>
      </c>
      <c r="D61">
        <f t="shared" si="0"/>
        <v>704.89</v>
      </c>
      <c r="E61" s="16">
        <f>Table5[[#This Row],[Close]]/Table5[[#This Row],[runnig max]]-1</f>
        <v>-1.7123239086949682E-2</v>
      </c>
    </row>
    <row r="62" spans="1:5" x14ac:dyDescent="0.35">
      <c r="A62" s="21" t="s">
        <v>67</v>
      </c>
      <c r="B62" s="18" t="s">
        <v>69</v>
      </c>
      <c r="C62" s="18">
        <v>1255.93</v>
      </c>
      <c r="D62">
        <f t="shared" si="0"/>
        <v>1255.93</v>
      </c>
      <c r="E62" s="16">
        <f>Table5[[#This Row],[Close]]/Table5[[#This Row],[runnig max]]-1</f>
        <v>0</v>
      </c>
    </row>
    <row r="63" spans="1:5" x14ac:dyDescent="0.35">
      <c r="A63" s="22" t="s">
        <v>66</v>
      </c>
      <c r="B63" s="19" t="s">
        <v>69</v>
      </c>
      <c r="C63" s="19">
        <v>1238.8900000000001</v>
      </c>
      <c r="D63">
        <f t="shared" si="0"/>
        <v>1255.93</v>
      </c>
      <c r="E63" s="16">
        <f>Table5[[#This Row],[Close]]/Table5[[#This Row],[runnig max]]-1</f>
        <v>-1.3567635138901024E-2</v>
      </c>
    </row>
    <row r="64" spans="1:5" x14ac:dyDescent="0.35">
      <c r="A64" s="21" t="s">
        <v>65</v>
      </c>
      <c r="B64" s="18" t="s">
        <v>69</v>
      </c>
      <c r="C64" s="18">
        <v>1285.17</v>
      </c>
      <c r="D64">
        <f t="shared" si="0"/>
        <v>1285.17</v>
      </c>
      <c r="E64" s="16">
        <f>Table5[[#This Row],[Close]]/Table5[[#This Row],[runnig max]]-1</f>
        <v>0</v>
      </c>
    </row>
    <row r="65" spans="1:5" x14ac:dyDescent="0.35">
      <c r="A65" s="22" t="s">
        <v>64</v>
      </c>
      <c r="B65" s="19" t="s">
        <v>69</v>
      </c>
      <c r="C65" s="19">
        <v>1277.46</v>
      </c>
      <c r="D65">
        <f t="shared" si="0"/>
        <v>1285.17</v>
      </c>
      <c r="E65" s="16">
        <f>Table5[[#This Row],[Close]]/Table5[[#This Row],[runnig max]]-1</f>
        <v>-5.9992063306799626E-3</v>
      </c>
    </row>
    <row r="66" spans="1:5" x14ac:dyDescent="0.35">
      <c r="A66" s="21" t="s">
        <v>63</v>
      </c>
      <c r="B66" s="18" t="s">
        <v>69</v>
      </c>
      <c r="C66" s="18">
        <v>1252.72</v>
      </c>
      <c r="D66">
        <f t="shared" ref="D66:D129" si="1">IF(B66=B65, MAX(D65, C66), C66)</f>
        <v>1285.17</v>
      </c>
      <c r="E66" s="16">
        <f>Table5[[#This Row],[Close]]/Table5[[#This Row],[runnig max]]-1</f>
        <v>-2.5249577876856777E-2</v>
      </c>
    </row>
    <row r="67" spans="1:5" x14ac:dyDescent="0.35">
      <c r="A67" s="22" t="s">
        <v>62</v>
      </c>
      <c r="B67" s="19" t="s">
        <v>69</v>
      </c>
      <c r="C67" s="19">
        <v>1250.1199999999999</v>
      </c>
      <c r="D67">
        <f t="shared" si="1"/>
        <v>1285.17</v>
      </c>
      <c r="E67" s="16">
        <f>Table5[[#This Row],[Close]]/Table5[[#This Row],[runnig max]]-1</f>
        <v>-2.7272656535711315E-2</v>
      </c>
    </row>
    <row r="68" spans="1:5" x14ac:dyDescent="0.35">
      <c r="A68" s="21" t="s">
        <v>61</v>
      </c>
      <c r="B68" s="18" t="s">
        <v>69</v>
      </c>
      <c r="C68" s="18">
        <v>1260.45</v>
      </c>
      <c r="D68">
        <f t="shared" si="1"/>
        <v>1285.17</v>
      </c>
      <c r="E68" s="16">
        <f>Table5[[#This Row],[Close]]/Table5[[#This Row],[runnig max]]-1</f>
        <v>-1.9234809402647102E-2</v>
      </c>
    </row>
    <row r="69" spans="1:5" x14ac:dyDescent="0.35">
      <c r="A69" s="22" t="s">
        <v>60</v>
      </c>
      <c r="B69" s="19" t="s">
        <v>69</v>
      </c>
      <c r="C69" s="19">
        <v>1241.6099999999999</v>
      </c>
      <c r="D69">
        <f t="shared" si="1"/>
        <v>1285.17</v>
      </c>
      <c r="E69" s="16">
        <f>Table5[[#This Row],[Close]]/Table5[[#This Row],[runnig max]]-1</f>
        <v>-3.389434860757734E-2</v>
      </c>
    </row>
    <row r="70" spans="1:5" x14ac:dyDescent="0.35">
      <c r="A70" s="21" t="s">
        <v>59</v>
      </c>
      <c r="B70" s="18" t="s">
        <v>69</v>
      </c>
      <c r="C70" s="18">
        <v>1263.6300000000001</v>
      </c>
      <c r="D70">
        <f t="shared" si="1"/>
        <v>1285.17</v>
      </c>
      <c r="E70" s="16">
        <f>Table5[[#This Row],[Close]]/Table5[[#This Row],[runnig max]]-1</f>
        <v>-1.6760428581432785E-2</v>
      </c>
    </row>
    <row r="71" spans="1:5" x14ac:dyDescent="0.35">
      <c r="A71" s="22" t="s">
        <v>58</v>
      </c>
      <c r="B71" s="19" t="s">
        <v>69</v>
      </c>
      <c r="C71" s="19">
        <v>1247.71</v>
      </c>
      <c r="D71">
        <f t="shared" si="1"/>
        <v>1285.17</v>
      </c>
      <c r="E71" s="16">
        <f>Table5[[#This Row],[Close]]/Table5[[#This Row],[runnig max]]-1</f>
        <v>-2.9147894831034082E-2</v>
      </c>
    </row>
    <row r="72" spans="1:5" x14ac:dyDescent="0.35">
      <c r="A72" s="21" t="s">
        <v>57</v>
      </c>
      <c r="B72" s="18" t="s">
        <v>69</v>
      </c>
      <c r="C72" s="18">
        <v>1237.6600000000001</v>
      </c>
      <c r="D72">
        <f t="shared" si="1"/>
        <v>1285.17</v>
      </c>
      <c r="E72" s="16">
        <f>Table5[[#This Row],[Close]]/Table5[[#This Row],[runnig max]]-1</f>
        <v>-3.6967871954682985E-2</v>
      </c>
    </row>
    <row r="73" spans="1:5" x14ac:dyDescent="0.35">
      <c r="A73" s="22" t="s">
        <v>56</v>
      </c>
      <c r="B73" s="19" t="s">
        <v>69</v>
      </c>
      <c r="C73" s="19">
        <v>1245.4000000000001</v>
      </c>
      <c r="D73">
        <f t="shared" si="1"/>
        <v>1285.17</v>
      </c>
      <c r="E73" s="16">
        <f>Table5[[#This Row],[Close]]/Table5[[#This Row],[runnig max]]-1</f>
        <v>-3.0945322408708509E-2</v>
      </c>
    </row>
    <row r="74" spans="1:5" x14ac:dyDescent="0.35">
      <c r="A74" s="21" t="s">
        <v>55</v>
      </c>
      <c r="B74" s="18" t="s">
        <v>69</v>
      </c>
      <c r="C74" s="18">
        <v>1272.8</v>
      </c>
      <c r="D74">
        <f t="shared" si="1"/>
        <v>1285.17</v>
      </c>
      <c r="E74" s="16">
        <f>Table5[[#This Row],[Close]]/Table5[[#This Row],[runnig max]]-1</f>
        <v>-9.6251857730884627E-3</v>
      </c>
    </row>
    <row r="75" spans="1:5" x14ac:dyDescent="0.35">
      <c r="A75" s="22" t="s">
        <v>54</v>
      </c>
      <c r="B75" s="19" t="s">
        <v>69</v>
      </c>
      <c r="C75" s="19">
        <v>1251.74</v>
      </c>
      <c r="D75">
        <f t="shared" si="1"/>
        <v>1285.17</v>
      </c>
      <c r="E75" s="16">
        <f>Table5[[#This Row],[Close]]/Table5[[#This Row],[runnig max]]-1</f>
        <v>-2.6012122909809698E-2</v>
      </c>
    </row>
    <row r="76" spans="1:5" x14ac:dyDescent="0.35">
      <c r="A76" s="21" t="s">
        <v>53</v>
      </c>
      <c r="B76" s="18" t="s">
        <v>69</v>
      </c>
      <c r="C76" s="18">
        <v>1259.25</v>
      </c>
      <c r="D76">
        <f t="shared" si="1"/>
        <v>1285.17</v>
      </c>
      <c r="E76" s="16">
        <f>Table5[[#This Row],[Close]]/Table5[[#This Row],[runnig max]]-1</f>
        <v>-2.0168538014426196E-2</v>
      </c>
    </row>
    <row r="77" spans="1:5" x14ac:dyDescent="0.35">
      <c r="A77" s="22" t="s">
        <v>52</v>
      </c>
      <c r="B77" s="19" t="s">
        <v>69</v>
      </c>
      <c r="C77" s="19">
        <v>1232.79</v>
      </c>
      <c r="D77">
        <f t="shared" si="1"/>
        <v>1285.17</v>
      </c>
      <c r="E77" s="16">
        <f>Table5[[#This Row],[Close]]/Table5[[#This Row],[runnig max]]-1</f>
        <v>-4.0757253904152857E-2</v>
      </c>
    </row>
    <row r="78" spans="1:5" x14ac:dyDescent="0.35">
      <c r="A78" s="21" t="s">
        <v>51</v>
      </c>
      <c r="B78" s="18" t="s">
        <v>69</v>
      </c>
      <c r="C78" s="18">
        <v>1248.05</v>
      </c>
      <c r="D78">
        <f t="shared" si="1"/>
        <v>1285.17</v>
      </c>
      <c r="E78" s="16">
        <f>Table5[[#This Row],[Close]]/Table5[[#This Row],[runnig max]]-1</f>
        <v>-2.8883338391030078E-2</v>
      </c>
    </row>
    <row r="79" spans="1:5" x14ac:dyDescent="0.35">
      <c r="A79" s="22" t="s">
        <v>50</v>
      </c>
      <c r="B79" s="19" t="s">
        <v>69</v>
      </c>
      <c r="C79" s="19">
        <v>1255.45</v>
      </c>
      <c r="D79">
        <f t="shared" si="1"/>
        <v>1285.17</v>
      </c>
      <c r="E79" s="16">
        <f>Table5[[#This Row],[Close]]/Table5[[#This Row],[runnig max]]-1</f>
        <v>-2.3125345285059606E-2</v>
      </c>
    </row>
    <row r="80" spans="1:5" x14ac:dyDescent="0.35">
      <c r="A80" s="21" t="s">
        <v>49</v>
      </c>
      <c r="B80" s="18" t="s">
        <v>69</v>
      </c>
      <c r="C80" s="18">
        <v>1273.8499999999999</v>
      </c>
      <c r="D80">
        <f t="shared" si="1"/>
        <v>1285.17</v>
      </c>
      <c r="E80" s="16">
        <f>Table5[[#This Row],[Close]]/Table5[[#This Row],[runnig max]]-1</f>
        <v>-8.8081732377819355E-3</v>
      </c>
    </row>
    <row r="81" spans="1:5" x14ac:dyDescent="0.35">
      <c r="A81" s="22" t="s">
        <v>48</v>
      </c>
      <c r="B81" s="19" t="s">
        <v>69</v>
      </c>
      <c r="C81" s="19">
        <v>1286.94</v>
      </c>
      <c r="D81">
        <f t="shared" si="1"/>
        <v>1286.94</v>
      </c>
      <c r="E81" s="16">
        <f>Table5[[#This Row],[Close]]/Table5[[#This Row],[runnig max]]-1</f>
        <v>0</v>
      </c>
    </row>
    <row r="82" spans="1:5" x14ac:dyDescent="0.35">
      <c r="A82" s="21" t="s">
        <v>47</v>
      </c>
      <c r="B82" s="18" t="s">
        <v>69</v>
      </c>
      <c r="C82" s="18">
        <v>1268.55</v>
      </c>
      <c r="D82">
        <f t="shared" si="1"/>
        <v>1286.94</v>
      </c>
      <c r="E82" s="16">
        <f>Table5[[#This Row],[Close]]/Table5[[#This Row],[runnig max]]-1</f>
        <v>-1.4289710476012907E-2</v>
      </c>
    </row>
    <row r="83" spans="1:5" x14ac:dyDescent="0.35">
      <c r="A83" s="22" t="s">
        <v>46</v>
      </c>
      <c r="B83" s="19" t="s">
        <v>69</v>
      </c>
      <c r="C83" s="19">
        <v>1257.45</v>
      </c>
      <c r="D83">
        <f t="shared" si="1"/>
        <v>1286.94</v>
      </c>
      <c r="E83" s="16">
        <f>Table5[[#This Row],[Close]]/Table5[[#This Row],[runnig max]]-1</f>
        <v>-2.291482120378574E-2</v>
      </c>
    </row>
    <row r="84" spans="1:5" x14ac:dyDescent="0.35">
      <c r="A84" s="21" t="s">
        <v>45</v>
      </c>
      <c r="B84" s="18" t="s">
        <v>69</v>
      </c>
      <c r="C84" s="18">
        <v>1236.69</v>
      </c>
      <c r="D84">
        <f t="shared" si="1"/>
        <v>1286.94</v>
      </c>
      <c r="E84" s="16">
        <f>Table5[[#This Row],[Close]]/Table5[[#This Row],[runnig max]]-1</f>
        <v>-3.9046109375728499E-2</v>
      </c>
    </row>
    <row r="85" spans="1:5" x14ac:dyDescent="0.35">
      <c r="A85" s="22" t="s">
        <v>44</v>
      </c>
      <c r="B85" s="19" t="s">
        <v>69</v>
      </c>
      <c r="C85" s="19">
        <v>1252.96</v>
      </c>
      <c r="D85">
        <f t="shared" si="1"/>
        <v>1286.94</v>
      </c>
      <c r="E85" s="16">
        <f>Table5[[#This Row],[Close]]/Table5[[#This Row],[runnig max]]-1</f>
        <v>-2.6403717345020006E-2</v>
      </c>
    </row>
    <row r="86" spans="1:5" x14ac:dyDescent="0.35">
      <c r="A86" s="21" t="s">
        <v>43</v>
      </c>
      <c r="B86" s="18" t="s">
        <v>69</v>
      </c>
      <c r="C86" s="18">
        <v>1226.5999999999999</v>
      </c>
      <c r="D86">
        <f t="shared" si="1"/>
        <v>1286.94</v>
      </c>
      <c r="E86" s="16">
        <f>Table5[[#This Row],[Close]]/Table5[[#This Row],[runnig max]]-1</f>
        <v>-4.6886412730974381E-2</v>
      </c>
    </row>
    <row r="87" spans="1:5" x14ac:dyDescent="0.35">
      <c r="A87" s="22" t="s">
        <v>42</v>
      </c>
      <c r="B87" s="19" t="s">
        <v>69</v>
      </c>
      <c r="C87" s="19">
        <v>1244.5999999999999</v>
      </c>
      <c r="D87">
        <f t="shared" si="1"/>
        <v>1286.94</v>
      </c>
      <c r="E87" s="16">
        <f>Table5[[#This Row],[Close]]/Table5[[#This Row],[runnig max]]-1</f>
        <v>-3.2899746685937314E-2</v>
      </c>
    </row>
    <row r="88" spans="1:5" x14ac:dyDescent="0.35">
      <c r="A88" s="21" t="s">
        <v>41</v>
      </c>
      <c r="B88" s="18" t="s">
        <v>69</v>
      </c>
      <c r="C88" s="18">
        <v>1250.52</v>
      </c>
      <c r="D88">
        <f t="shared" si="1"/>
        <v>1286.94</v>
      </c>
      <c r="E88" s="16">
        <f>Table5[[#This Row],[Close]]/Table5[[#This Row],[runnig max]]-1</f>
        <v>-2.8299687631125003E-2</v>
      </c>
    </row>
    <row r="89" spans="1:5" x14ac:dyDescent="0.35">
      <c r="A89" s="22" t="s">
        <v>40</v>
      </c>
      <c r="B89" s="19" t="s">
        <v>69</v>
      </c>
      <c r="C89" s="19">
        <v>1250.46</v>
      </c>
      <c r="D89">
        <f t="shared" si="1"/>
        <v>1286.94</v>
      </c>
      <c r="E89" s="16">
        <f>Table5[[#This Row],[Close]]/Table5[[#This Row],[runnig max]]-1</f>
        <v>-2.8346309851275175E-2</v>
      </c>
    </row>
    <row r="90" spans="1:5" x14ac:dyDescent="0.35">
      <c r="A90" s="21" t="s">
        <v>39</v>
      </c>
      <c r="B90" s="18" t="s">
        <v>69</v>
      </c>
      <c r="C90" s="18">
        <v>1237.6500000000001</v>
      </c>
      <c r="D90">
        <f t="shared" si="1"/>
        <v>1286.94</v>
      </c>
      <c r="E90" s="16">
        <f>Table5[[#This Row],[Close]]/Table5[[#This Row],[runnig max]]-1</f>
        <v>-3.8300153853326413E-2</v>
      </c>
    </row>
    <row r="91" spans="1:5" x14ac:dyDescent="0.35">
      <c r="A91" s="22" t="s">
        <v>38</v>
      </c>
      <c r="B91" s="19" t="s">
        <v>69</v>
      </c>
      <c r="C91" s="19">
        <v>1233.92</v>
      </c>
      <c r="D91">
        <f t="shared" si="1"/>
        <v>1286.94</v>
      </c>
      <c r="E91" s="16">
        <f>Table5[[#This Row],[Close]]/Table5[[#This Row],[runnig max]]-1</f>
        <v>-4.1198501872659166E-2</v>
      </c>
    </row>
    <row r="92" spans="1:5" x14ac:dyDescent="0.35">
      <c r="A92" s="21" t="s">
        <v>37</v>
      </c>
      <c r="B92" s="18" t="s">
        <v>69</v>
      </c>
      <c r="C92" s="18">
        <v>1260.3399999999999</v>
      </c>
      <c r="D92">
        <f t="shared" si="1"/>
        <v>1286.94</v>
      </c>
      <c r="E92" s="16">
        <f>Table5[[#This Row],[Close]]/Table5[[#This Row],[runnig max]]-1</f>
        <v>-2.0669184266554841E-2</v>
      </c>
    </row>
    <row r="93" spans="1:5" x14ac:dyDescent="0.35">
      <c r="A93" s="22" t="s">
        <v>36</v>
      </c>
      <c r="B93" s="19" t="s">
        <v>69</v>
      </c>
      <c r="C93" s="19">
        <v>1261.8699999999999</v>
      </c>
      <c r="D93">
        <f t="shared" si="1"/>
        <v>1286.94</v>
      </c>
      <c r="E93" s="16">
        <f>Table5[[#This Row],[Close]]/Table5[[#This Row],[runnig max]]-1</f>
        <v>-1.9480317652726731E-2</v>
      </c>
    </row>
    <row r="94" spans="1:5" x14ac:dyDescent="0.35">
      <c r="A94" s="21" t="s">
        <v>35</v>
      </c>
      <c r="B94" s="18" t="s">
        <v>69</v>
      </c>
      <c r="C94" s="18">
        <v>1280.5999999999999</v>
      </c>
      <c r="D94">
        <f t="shared" si="1"/>
        <v>1286.94</v>
      </c>
      <c r="E94" s="16">
        <f>Table5[[#This Row],[Close]]/Table5[[#This Row],[runnig max]]-1</f>
        <v>-4.9264145958631822E-3</v>
      </c>
    </row>
    <row r="95" spans="1:5" x14ac:dyDescent="0.35">
      <c r="A95" s="22" t="s">
        <v>34</v>
      </c>
      <c r="B95" s="19" t="s">
        <v>69</v>
      </c>
      <c r="C95" s="19">
        <v>1252.7</v>
      </c>
      <c r="D95">
        <f t="shared" si="1"/>
        <v>1286.94</v>
      </c>
      <c r="E95" s="16">
        <f>Table5[[#This Row],[Close]]/Table5[[#This Row],[runnig max]]-1</f>
        <v>-2.6605746965670529E-2</v>
      </c>
    </row>
    <row r="96" spans="1:5" x14ac:dyDescent="0.35">
      <c r="A96" s="21" t="s">
        <v>33</v>
      </c>
      <c r="B96" s="18" t="s">
        <v>69</v>
      </c>
      <c r="C96" s="18">
        <v>1259.99</v>
      </c>
      <c r="D96">
        <f t="shared" si="1"/>
        <v>1286.94</v>
      </c>
      <c r="E96" s="16">
        <f>Table5[[#This Row],[Close]]/Table5[[#This Row],[runnig max]]-1</f>
        <v>-2.0941147217430567E-2</v>
      </c>
    </row>
    <row r="97" spans="1:5" x14ac:dyDescent="0.35">
      <c r="A97" s="22" t="s">
        <v>32</v>
      </c>
      <c r="B97" s="19" t="s">
        <v>69</v>
      </c>
      <c r="C97" s="19">
        <v>1271.26</v>
      </c>
      <c r="D97">
        <f t="shared" si="1"/>
        <v>1286.94</v>
      </c>
      <c r="E97" s="16">
        <f>Table5[[#This Row],[Close]]/Table5[[#This Row],[runnig max]]-1</f>
        <v>-1.2183940199232302E-2</v>
      </c>
    </row>
    <row r="98" spans="1:5" x14ac:dyDescent="0.35">
      <c r="A98" s="21" t="s">
        <v>31</v>
      </c>
      <c r="B98" s="18" t="s">
        <v>69</v>
      </c>
      <c r="C98" s="18">
        <v>1246.95</v>
      </c>
      <c r="D98">
        <f t="shared" si="1"/>
        <v>1286.94</v>
      </c>
      <c r="E98" s="16">
        <f>Table5[[#This Row],[Close]]/Table5[[#This Row],[runnig max]]-1</f>
        <v>-3.1073709730057297E-2</v>
      </c>
    </row>
    <row r="99" spans="1:5" x14ac:dyDescent="0.35">
      <c r="A99" s="22" t="s">
        <v>30</v>
      </c>
      <c r="B99" s="19" t="s">
        <v>69</v>
      </c>
      <c r="C99" s="19">
        <v>1258.92</v>
      </c>
      <c r="D99">
        <f t="shared" si="1"/>
        <v>1286.94</v>
      </c>
      <c r="E99" s="16">
        <f>Table5[[#This Row],[Close]]/Table5[[#This Row],[runnig max]]-1</f>
        <v>-2.1772576810107691E-2</v>
      </c>
    </row>
    <row r="100" spans="1:5" x14ac:dyDescent="0.35">
      <c r="A100" s="21" t="s">
        <v>29</v>
      </c>
      <c r="B100" s="18" t="s">
        <v>69</v>
      </c>
      <c r="C100" s="18">
        <v>1248.96</v>
      </c>
      <c r="D100">
        <f t="shared" si="1"/>
        <v>1286.94</v>
      </c>
      <c r="E100" s="16">
        <f>Table5[[#This Row],[Close]]/Table5[[#This Row],[runnig max]]-1</f>
        <v>-2.9511865355028255E-2</v>
      </c>
    </row>
    <row r="101" spans="1:5" x14ac:dyDescent="0.35">
      <c r="A101" s="22" t="s">
        <v>28</v>
      </c>
      <c r="B101" s="19" t="s">
        <v>69</v>
      </c>
      <c r="C101" s="19">
        <v>1231.47</v>
      </c>
      <c r="D101">
        <f t="shared" si="1"/>
        <v>1286.94</v>
      </c>
      <c r="E101" s="16">
        <f>Table5[[#This Row],[Close]]/Table5[[#This Row],[runnig max]]-1</f>
        <v>-4.3102242528789247E-2</v>
      </c>
    </row>
    <row r="102" spans="1:5" x14ac:dyDescent="0.35">
      <c r="A102" s="21" t="s">
        <v>27</v>
      </c>
      <c r="B102" s="18" t="s">
        <v>69</v>
      </c>
      <c r="C102" s="18">
        <v>1251.56</v>
      </c>
      <c r="D102">
        <f t="shared" si="1"/>
        <v>1286.94</v>
      </c>
      <c r="E102" s="16">
        <f>Table5[[#This Row],[Close]]/Table5[[#This Row],[runnig max]]-1</f>
        <v>-2.749156914852291E-2</v>
      </c>
    </row>
    <row r="103" spans="1:5" x14ac:dyDescent="0.35">
      <c r="A103" s="22" t="s">
        <v>26</v>
      </c>
      <c r="B103" s="19" t="s">
        <v>69</v>
      </c>
      <c r="C103" s="19">
        <v>1259.19</v>
      </c>
      <c r="D103">
        <f t="shared" si="1"/>
        <v>1286.94</v>
      </c>
      <c r="E103" s="16">
        <f>Table5[[#This Row],[Close]]/Table5[[#This Row],[runnig max]]-1</f>
        <v>-2.1562776819432194E-2</v>
      </c>
    </row>
    <row r="104" spans="1:5" x14ac:dyDescent="0.35">
      <c r="A104" s="21" t="s">
        <v>25</v>
      </c>
      <c r="B104" s="18" t="s">
        <v>69</v>
      </c>
      <c r="C104" s="18">
        <v>1245.98</v>
      </c>
      <c r="D104">
        <f t="shared" si="1"/>
        <v>1286.94</v>
      </c>
      <c r="E104" s="16">
        <f>Table5[[#This Row],[Close]]/Table5[[#This Row],[runnig max]]-1</f>
        <v>-3.1827435622484357E-2</v>
      </c>
    </row>
    <row r="105" spans="1:5" x14ac:dyDescent="0.35">
      <c r="A105" s="22" t="s">
        <v>24</v>
      </c>
      <c r="B105" s="19" t="s">
        <v>69</v>
      </c>
      <c r="C105" s="19">
        <v>1260.3599999999999</v>
      </c>
      <c r="D105">
        <f t="shared" si="1"/>
        <v>1286.94</v>
      </c>
      <c r="E105" s="16">
        <f>Table5[[#This Row],[Close]]/Table5[[#This Row],[runnig max]]-1</f>
        <v>-2.0653643526504895E-2</v>
      </c>
    </row>
    <row r="106" spans="1:5" x14ac:dyDescent="0.35">
      <c r="A106" s="21" t="s">
        <v>23</v>
      </c>
      <c r="B106" s="18" t="s">
        <v>69</v>
      </c>
      <c r="C106" s="18">
        <v>1231.27</v>
      </c>
      <c r="D106">
        <f t="shared" si="1"/>
        <v>1286.94</v>
      </c>
      <c r="E106" s="16">
        <f>Table5[[#This Row],[Close]]/Table5[[#This Row],[runnig max]]-1</f>
        <v>-4.325764992928971E-2</v>
      </c>
    </row>
    <row r="107" spans="1:5" x14ac:dyDescent="0.35">
      <c r="A107" s="22" t="s">
        <v>22</v>
      </c>
      <c r="B107" s="19" t="s">
        <v>69</v>
      </c>
      <c r="C107" s="19">
        <v>1259.42</v>
      </c>
      <c r="D107">
        <f t="shared" si="1"/>
        <v>1286.94</v>
      </c>
      <c r="E107" s="16">
        <f>Table5[[#This Row],[Close]]/Table5[[#This Row],[runnig max]]-1</f>
        <v>-2.1384058308856702E-2</v>
      </c>
    </row>
    <row r="108" spans="1:5" x14ac:dyDescent="0.35">
      <c r="A108" s="21" t="s">
        <v>21</v>
      </c>
      <c r="B108" s="18" t="s">
        <v>69</v>
      </c>
      <c r="C108" s="18">
        <v>1257.31</v>
      </c>
      <c r="D108">
        <f t="shared" si="1"/>
        <v>1286.94</v>
      </c>
      <c r="E108" s="16">
        <f>Table5[[#This Row],[Close]]/Table5[[#This Row],[runnig max]]-1</f>
        <v>-2.3023606384136142E-2</v>
      </c>
    </row>
    <row r="109" spans="1:5" x14ac:dyDescent="0.35">
      <c r="A109" s="22" t="s">
        <v>20</v>
      </c>
      <c r="B109" s="19" t="s">
        <v>69</v>
      </c>
      <c r="C109" s="19">
        <v>1260.32</v>
      </c>
      <c r="D109">
        <f t="shared" si="1"/>
        <v>1286.94</v>
      </c>
      <c r="E109" s="16">
        <f>Table5[[#This Row],[Close]]/Table5[[#This Row],[runnig max]]-1</f>
        <v>-2.0684725006604898E-2</v>
      </c>
    </row>
    <row r="110" spans="1:5" x14ac:dyDescent="0.35">
      <c r="A110" s="21" t="s">
        <v>19</v>
      </c>
      <c r="B110" s="18" t="s">
        <v>69</v>
      </c>
      <c r="C110" s="18">
        <v>1253.6600000000001</v>
      </c>
      <c r="D110">
        <f t="shared" si="1"/>
        <v>1286.94</v>
      </c>
      <c r="E110" s="16">
        <f>Table5[[#This Row],[Close]]/Table5[[#This Row],[runnig max]]-1</f>
        <v>-2.5859791443268554E-2</v>
      </c>
    </row>
    <row r="111" spans="1:5" x14ac:dyDescent="0.35">
      <c r="A111" s="22" t="s">
        <v>18</v>
      </c>
      <c r="B111" s="19" t="s">
        <v>69</v>
      </c>
      <c r="C111" s="19">
        <v>1268.8599999999999</v>
      </c>
      <c r="D111">
        <f t="shared" si="1"/>
        <v>1286.94</v>
      </c>
      <c r="E111" s="16">
        <f>Table5[[#This Row],[Close]]/Table5[[#This Row],[runnig max]]-1</f>
        <v>-1.4048829005237295E-2</v>
      </c>
    </row>
    <row r="112" spans="1:5" x14ac:dyDescent="0.35">
      <c r="A112" s="21" t="s">
        <v>17</v>
      </c>
      <c r="B112" s="18" t="s">
        <v>69</v>
      </c>
      <c r="C112" s="18">
        <v>1264.44</v>
      </c>
      <c r="D112">
        <f t="shared" si="1"/>
        <v>1286.94</v>
      </c>
      <c r="E112" s="16">
        <f>Table5[[#This Row],[Close]]/Table5[[#This Row],[runnig max]]-1</f>
        <v>-1.7483332556296305E-2</v>
      </c>
    </row>
    <row r="113" spans="1:5" x14ac:dyDescent="0.35">
      <c r="A113" s="22" t="s">
        <v>16</v>
      </c>
      <c r="B113" s="19" t="s">
        <v>69</v>
      </c>
      <c r="C113" s="19">
        <v>1248.02</v>
      </c>
      <c r="D113">
        <f t="shared" si="1"/>
        <v>1286.94</v>
      </c>
      <c r="E113" s="16">
        <f>Table5[[#This Row],[Close]]/Table5[[#This Row],[runnig max]]-1</f>
        <v>-3.0242280137380173E-2</v>
      </c>
    </row>
    <row r="114" spans="1:5" x14ac:dyDescent="0.35">
      <c r="A114" s="21" t="s">
        <v>15</v>
      </c>
      <c r="B114" s="18" t="s">
        <v>69</v>
      </c>
      <c r="C114" s="18">
        <v>1246.23</v>
      </c>
      <c r="D114">
        <f t="shared" si="1"/>
        <v>1286.94</v>
      </c>
      <c r="E114" s="16">
        <f>Table5[[#This Row],[Close]]/Table5[[#This Row],[runnig max]]-1</f>
        <v>-3.1633176371858807E-2</v>
      </c>
    </row>
    <row r="115" spans="1:5" x14ac:dyDescent="0.35">
      <c r="A115" s="22" t="s">
        <v>14</v>
      </c>
      <c r="B115" s="19" t="s">
        <v>69</v>
      </c>
      <c r="C115" s="19">
        <v>1269.73</v>
      </c>
      <c r="D115">
        <f t="shared" si="1"/>
        <v>1286.94</v>
      </c>
      <c r="E115" s="16">
        <f>Table5[[#This Row],[Close]]/Table5[[#This Row],[runnig max]]-1</f>
        <v>-1.3372806813060412E-2</v>
      </c>
    </row>
    <row r="116" spans="1:5" x14ac:dyDescent="0.35">
      <c r="A116" s="21" t="s">
        <v>13</v>
      </c>
      <c r="B116" s="18" t="s">
        <v>69</v>
      </c>
      <c r="C116" s="18">
        <v>1262.51</v>
      </c>
      <c r="D116">
        <f t="shared" si="1"/>
        <v>1286.94</v>
      </c>
      <c r="E116" s="16">
        <f>Table5[[#This Row],[Close]]/Table5[[#This Row],[runnig max]]-1</f>
        <v>-1.898301397112534E-2</v>
      </c>
    </row>
    <row r="117" spans="1:5" x14ac:dyDescent="0.35">
      <c r="A117" s="22" t="s">
        <v>12</v>
      </c>
      <c r="B117" s="19" t="s">
        <v>69</v>
      </c>
      <c r="C117" s="19">
        <v>1242.2</v>
      </c>
      <c r="D117">
        <f t="shared" si="1"/>
        <v>1286.94</v>
      </c>
      <c r="E117" s="16">
        <f>Table5[[#This Row],[Close]]/Table5[[#This Row],[runnig max]]-1</f>
        <v>-3.4764635491942086E-2</v>
      </c>
    </row>
    <row r="118" spans="1:5" x14ac:dyDescent="0.35">
      <c r="A118" s="21" t="s">
        <v>11</v>
      </c>
      <c r="B118" s="18" t="s">
        <v>69</v>
      </c>
      <c r="C118" s="18">
        <v>1251.31</v>
      </c>
      <c r="D118">
        <f t="shared" si="1"/>
        <v>1286.94</v>
      </c>
      <c r="E118" s="16">
        <f>Table5[[#This Row],[Close]]/Table5[[#This Row],[runnig max]]-1</f>
        <v>-2.768582839914846E-2</v>
      </c>
    </row>
    <row r="119" spans="1:5" x14ac:dyDescent="0.35">
      <c r="A119" s="22" t="s">
        <v>10</v>
      </c>
      <c r="B119" s="19" t="s">
        <v>69</v>
      </c>
      <c r="C119" s="19">
        <v>1243.5999999999999</v>
      </c>
      <c r="D119">
        <f t="shared" si="1"/>
        <v>1286.94</v>
      </c>
      <c r="E119" s="16">
        <f>Table5[[#This Row],[Close]]/Table5[[#This Row],[runnig max]]-1</f>
        <v>-3.3676783688439405E-2</v>
      </c>
    </row>
    <row r="120" spans="1:5" x14ac:dyDescent="0.35">
      <c r="A120" s="21" t="s">
        <v>9</v>
      </c>
      <c r="B120" s="18" t="s">
        <v>69</v>
      </c>
      <c r="C120" s="18">
        <v>1258.04</v>
      </c>
      <c r="D120">
        <f t="shared" si="1"/>
        <v>1286.94</v>
      </c>
      <c r="E120" s="16">
        <f>Table5[[#This Row],[Close]]/Table5[[#This Row],[runnig max]]-1</f>
        <v>-2.2456369372309548E-2</v>
      </c>
    </row>
    <row r="121" spans="1:5" x14ac:dyDescent="0.35">
      <c r="A121" s="22" t="s">
        <v>8</v>
      </c>
      <c r="B121" s="19" t="s">
        <v>69</v>
      </c>
      <c r="C121" s="19">
        <v>1262.3699999999999</v>
      </c>
      <c r="D121">
        <f t="shared" si="1"/>
        <v>1286.94</v>
      </c>
      <c r="E121" s="16">
        <f>Table5[[#This Row],[Close]]/Table5[[#This Row],[runnig max]]-1</f>
        <v>-1.9091799151475741E-2</v>
      </c>
    </row>
    <row r="122" spans="1:5" x14ac:dyDescent="0.35">
      <c r="A122" s="21" t="s">
        <v>67</v>
      </c>
      <c r="B122" s="18" t="s">
        <v>72</v>
      </c>
      <c r="C122" s="18">
        <v>2368.52</v>
      </c>
      <c r="D122">
        <f t="shared" si="1"/>
        <v>2368.52</v>
      </c>
      <c r="E122" s="16">
        <f>Table5[[#This Row],[Close]]/Table5[[#This Row],[runnig max]]-1</f>
        <v>0</v>
      </c>
    </row>
    <row r="123" spans="1:5" x14ac:dyDescent="0.35">
      <c r="A123" s="22" t="s">
        <v>66</v>
      </c>
      <c r="B123" s="19" t="s">
        <v>72</v>
      </c>
      <c r="C123" s="19">
        <v>2372.19</v>
      </c>
      <c r="D123">
        <f t="shared" si="1"/>
        <v>2372.19</v>
      </c>
      <c r="E123" s="16">
        <f>Table5[[#This Row],[Close]]/Table5[[#This Row],[runnig max]]-1</f>
        <v>0</v>
      </c>
    </row>
    <row r="124" spans="1:5" x14ac:dyDescent="0.35">
      <c r="A124" s="21" t="s">
        <v>65</v>
      </c>
      <c r="B124" s="18" t="s">
        <v>72</v>
      </c>
      <c r="C124" s="18">
        <v>2349.36</v>
      </c>
      <c r="D124">
        <f t="shared" si="1"/>
        <v>2372.19</v>
      </c>
      <c r="E124" s="16">
        <f>Table5[[#This Row],[Close]]/Table5[[#This Row],[runnig max]]-1</f>
        <v>-9.624018312192506E-3</v>
      </c>
    </row>
    <row r="125" spans="1:5" x14ac:dyDescent="0.35">
      <c r="A125" s="22" t="s">
        <v>64</v>
      </c>
      <c r="B125" s="19" t="s">
        <v>72</v>
      </c>
      <c r="C125" s="19">
        <v>2346.11</v>
      </c>
      <c r="D125">
        <f t="shared" si="1"/>
        <v>2372.19</v>
      </c>
      <c r="E125" s="16">
        <f>Table5[[#This Row],[Close]]/Table5[[#This Row],[runnig max]]-1</f>
        <v>-1.0994060340866474E-2</v>
      </c>
    </row>
    <row r="126" spans="1:5" x14ac:dyDescent="0.35">
      <c r="A126" s="21" t="s">
        <v>63</v>
      </c>
      <c r="B126" s="18" t="s">
        <v>72</v>
      </c>
      <c r="C126" s="18">
        <v>2363.87</v>
      </c>
      <c r="D126">
        <f t="shared" si="1"/>
        <v>2372.19</v>
      </c>
      <c r="E126" s="16">
        <f>Table5[[#This Row],[Close]]/Table5[[#This Row],[runnig max]]-1</f>
        <v>-3.5073075934053399E-3</v>
      </c>
    </row>
    <row r="127" spans="1:5" x14ac:dyDescent="0.35">
      <c r="A127" s="22" t="s">
        <v>62</v>
      </c>
      <c r="B127" s="19" t="s">
        <v>72</v>
      </c>
      <c r="C127" s="19">
        <v>2379.0700000000002</v>
      </c>
      <c r="D127">
        <f t="shared" si="1"/>
        <v>2379.0700000000002</v>
      </c>
      <c r="E127" s="16">
        <f>Table5[[#This Row],[Close]]/Table5[[#This Row],[runnig max]]-1</f>
        <v>0</v>
      </c>
    </row>
    <row r="128" spans="1:5" x14ac:dyDescent="0.35">
      <c r="A128" s="21" t="s">
        <v>61</v>
      </c>
      <c r="B128" s="18" t="s">
        <v>72</v>
      </c>
      <c r="C128" s="18">
        <v>2348.3200000000002</v>
      </c>
      <c r="D128">
        <f t="shared" si="1"/>
        <v>2379.0700000000002</v>
      </c>
      <c r="E128" s="16">
        <f>Table5[[#This Row],[Close]]/Table5[[#This Row],[runnig max]]-1</f>
        <v>-1.2925218677886763E-2</v>
      </c>
    </row>
    <row r="129" spans="1:5" x14ac:dyDescent="0.35">
      <c r="A129" s="22" t="s">
        <v>60</v>
      </c>
      <c r="B129" s="19" t="s">
        <v>72</v>
      </c>
      <c r="C129" s="19">
        <v>2364.84</v>
      </c>
      <c r="D129">
        <f t="shared" si="1"/>
        <v>2379.0700000000002</v>
      </c>
      <c r="E129" s="16">
        <f>Table5[[#This Row],[Close]]/Table5[[#This Row],[runnig max]]-1</f>
        <v>-5.9813288385798247E-3</v>
      </c>
    </row>
    <row r="130" spans="1:5" x14ac:dyDescent="0.35">
      <c r="A130" s="21" t="s">
        <v>59</v>
      </c>
      <c r="B130" s="18" t="s">
        <v>72</v>
      </c>
      <c r="C130" s="18">
        <v>2363.5300000000002</v>
      </c>
      <c r="D130">
        <f t="shared" ref="D130:D193" si="2">IF(B130=B129, MAX(D129, C130), C130)</f>
        <v>2379.0700000000002</v>
      </c>
      <c r="E130" s="16">
        <f>Table5[[#This Row],[Close]]/Table5[[#This Row],[runnig max]]-1</f>
        <v>-6.5319641708734277E-3</v>
      </c>
    </row>
    <row r="131" spans="1:5" x14ac:dyDescent="0.35">
      <c r="A131" s="22" t="s">
        <v>58</v>
      </c>
      <c r="B131" s="19" t="s">
        <v>72</v>
      </c>
      <c r="C131" s="19">
        <v>2388.87</v>
      </c>
      <c r="D131">
        <f t="shared" si="2"/>
        <v>2388.87</v>
      </c>
      <c r="E131" s="16">
        <f>Table5[[#This Row],[Close]]/Table5[[#This Row],[runnig max]]-1</f>
        <v>0</v>
      </c>
    </row>
    <row r="132" spans="1:5" x14ac:dyDescent="0.35">
      <c r="A132" s="21" t="s">
        <v>57</v>
      </c>
      <c r="B132" s="18" t="s">
        <v>72</v>
      </c>
      <c r="C132" s="18">
        <v>2346.67</v>
      </c>
      <c r="D132">
        <f t="shared" si="2"/>
        <v>2388.87</v>
      </c>
      <c r="E132" s="16">
        <f>Table5[[#This Row],[Close]]/Table5[[#This Row],[runnig max]]-1</f>
        <v>-1.7665255957837744E-2</v>
      </c>
    </row>
    <row r="133" spans="1:5" x14ac:dyDescent="0.35">
      <c r="A133" s="22" t="s">
        <v>56</v>
      </c>
      <c r="B133" s="19" t="s">
        <v>72</v>
      </c>
      <c r="C133" s="19">
        <v>2363.2800000000002</v>
      </c>
      <c r="D133">
        <f t="shared" si="2"/>
        <v>2388.87</v>
      </c>
      <c r="E133" s="16">
        <f>Table5[[#This Row],[Close]]/Table5[[#This Row],[runnig max]]-1</f>
        <v>-1.0712177724195859E-2</v>
      </c>
    </row>
    <row r="134" spans="1:5" x14ac:dyDescent="0.35">
      <c r="A134" s="21" t="s">
        <v>55</v>
      </c>
      <c r="B134" s="18" t="s">
        <v>72</v>
      </c>
      <c r="C134" s="18">
        <v>2354.5700000000002</v>
      </c>
      <c r="D134">
        <f t="shared" si="2"/>
        <v>2388.87</v>
      </c>
      <c r="E134" s="16">
        <f>Table5[[#This Row],[Close]]/Table5[[#This Row],[runnig max]]-1</f>
        <v>-1.4358253065256732E-2</v>
      </c>
    </row>
    <row r="135" spans="1:5" x14ac:dyDescent="0.35">
      <c r="A135" s="22" t="s">
        <v>54</v>
      </c>
      <c r="B135" s="19" t="s">
        <v>72</v>
      </c>
      <c r="C135" s="19">
        <v>2382.29</v>
      </c>
      <c r="D135">
        <f t="shared" si="2"/>
        <v>2388.87</v>
      </c>
      <c r="E135" s="16">
        <f>Table5[[#This Row],[Close]]/Table5[[#This Row],[runnig max]]-1</f>
        <v>-2.754440383947232E-3</v>
      </c>
    </row>
    <row r="136" spans="1:5" x14ac:dyDescent="0.35">
      <c r="A136" s="21" t="s">
        <v>53</v>
      </c>
      <c r="B136" s="18" t="s">
        <v>72</v>
      </c>
      <c r="C136" s="18">
        <v>2343.2600000000002</v>
      </c>
      <c r="D136">
        <f t="shared" si="2"/>
        <v>2388.87</v>
      </c>
      <c r="E136" s="16">
        <f>Table5[[#This Row],[Close]]/Table5[[#This Row],[runnig max]]-1</f>
        <v>-1.9092709105141603E-2</v>
      </c>
    </row>
    <row r="137" spans="1:5" x14ac:dyDescent="0.35">
      <c r="A137" s="22" t="s">
        <v>52</v>
      </c>
      <c r="B137" s="19" t="s">
        <v>72</v>
      </c>
      <c r="C137" s="19">
        <v>2385.4</v>
      </c>
      <c r="D137">
        <f t="shared" si="2"/>
        <v>2388.87</v>
      </c>
      <c r="E137" s="16">
        <f>Table5[[#This Row],[Close]]/Table5[[#This Row],[runnig max]]-1</f>
        <v>-1.4525696249690911E-3</v>
      </c>
    </row>
    <row r="138" spans="1:5" x14ac:dyDescent="0.35">
      <c r="A138" s="21" t="s">
        <v>51</v>
      </c>
      <c r="B138" s="18" t="s">
        <v>72</v>
      </c>
      <c r="C138" s="18">
        <v>2389.73</v>
      </c>
      <c r="D138">
        <f t="shared" si="2"/>
        <v>2389.73</v>
      </c>
      <c r="E138" s="16">
        <f>Table5[[#This Row],[Close]]/Table5[[#This Row],[runnig max]]-1</f>
        <v>0</v>
      </c>
    </row>
    <row r="139" spans="1:5" x14ac:dyDescent="0.35">
      <c r="A139" s="22" t="s">
        <v>50</v>
      </c>
      <c r="B139" s="19" t="s">
        <v>72</v>
      </c>
      <c r="C139" s="19">
        <v>2376.31</v>
      </c>
      <c r="D139">
        <f t="shared" si="2"/>
        <v>2389.73</v>
      </c>
      <c r="E139" s="16">
        <f>Table5[[#This Row],[Close]]/Table5[[#This Row],[runnig max]]-1</f>
        <v>-5.6156971708101189E-3</v>
      </c>
    </row>
    <row r="140" spans="1:5" x14ac:dyDescent="0.35">
      <c r="A140" s="21" t="s">
        <v>49</v>
      </c>
      <c r="B140" s="18" t="s">
        <v>72</v>
      </c>
      <c r="C140" s="18">
        <v>2364.4699999999998</v>
      </c>
      <c r="D140">
        <f t="shared" si="2"/>
        <v>2389.73</v>
      </c>
      <c r="E140" s="16">
        <f>Table5[[#This Row],[Close]]/Table5[[#This Row],[runnig max]]-1</f>
        <v>-1.0570231783507023E-2</v>
      </c>
    </row>
    <row r="141" spans="1:5" x14ac:dyDescent="0.35">
      <c r="A141" s="22" t="s">
        <v>48</v>
      </c>
      <c r="B141" s="19" t="s">
        <v>72</v>
      </c>
      <c r="C141" s="19">
        <v>2367.2800000000002</v>
      </c>
      <c r="D141">
        <f t="shared" si="2"/>
        <v>2389.73</v>
      </c>
      <c r="E141" s="16">
        <f>Table5[[#This Row],[Close]]/Table5[[#This Row],[runnig max]]-1</f>
        <v>-9.394366727621839E-3</v>
      </c>
    </row>
    <row r="142" spans="1:5" x14ac:dyDescent="0.35">
      <c r="A142" s="21" t="s">
        <v>47</v>
      </c>
      <c r="B142" s="18" t="s">
        <v>72</v>
      </c>
      <c r="C142" s="18">
        <v>2381.09</v>
      </c>
      <c r="D142">
        <f t="shared" si="2"/>
        <v>2389.73</v>
      </c>
      <c r="E142" s="16">
        <f>Table5[[#This Row],[Close]]/Table5[[#This Row],[runnig max]]-1</f>
        <v>-3.6154712038597436E-3</v>
      </c>
    </row>
    <row r="143" spans="1:5" x14ac:dyDescent="0.35">
      <c r="A143" s="22" t="s">
        <v>46</v>
      </c>
      <c r="B143" s="19" t="s">
        <v>72</v>
      </c>
      <c r="C143" s="19">
        <v>2367.81</v>
      </c>
      <c r="D143">
        <f t="shared" si="2"/>
        <v>2389.73</v>
      </c>
      <c r="E143" s="16">
        <f>Table5[[#This Row],[Close]]/Table5[[#This Row],[runnig max]]-1</f>
        <v>-9.1725843505333637E-3</v>
      </c>
    </row>
    <row r="144" spans="1:5" x14ac:dyDescent="0.35">
      <c r="A144" s="21" t="s">
        <v>45</v>
      </c>
      <c r="B144" s="18" t="s">
        <v>72</v>
      </c>
      <c r="C144" s="18">
        <v>2359.14</v>
      </c>
      <c r="D144">
        <f t="shared" si="2"/>
        <v>2389.73</v>
      </c>
      <c r="E144" s="16">
        <f>Table5[[#This Row],[Close]]/Table5[[#This Row],[runnig max]]-1</f>
        <v>-1.2800609273851071E-2</v>
      </c>
    </row>
    <row r="145" spans="1:5" x14ac:dyDescent="0.35">
      <c r="A145" s="22" t="s">
        <v>44</v>
      </c>
      <c r="B145" s="19" t="s">
        <v>72</v>
      </c>
      <c r="C145" s="19">
        <v>2356.87</v>
      </c>
      <c r="D145">
        <f t="shared" si="2"/>
        <v>2389.73</v>
      </c>
      <c r="E145" s="16">
        <f>Table5[[#This Row],[Close]]/Table5[[#This Row],[runnig max]]-1</f>
        <v>-1.3750507379494792E-2</v>
      </c>
    </row>
    <row r="146" spans="1:5" x14ac:dyDescent="0.35">
      <c r="A146" s="21" t="s">
        <v>43</v>
      </c>
      <c r="B146" s="18" t="s">
        <v>72</v>
      </c>
      <c r="C146" s="18">
        <v>2358.69</v>
      </c>
      <c r="D146">
        <f t="shared" si="2"/>
        <v>2389.73</v>
      </c>
      <c r="E146" s="16">
        <f>Table5[[#This Row],[Close]]/Table5[[#This Row],[runnig max]]-1</f>
        <v>-1.2988915065718754E-2</v>
      </c>
    </row>
    <row r="147" spans="1:5" x14ac:dyDescent="0.35">
      <c r="A147" s="22" t="s">
        <v>42</v>
      </c>
      <c r="B147" s="19" t="s">
        <v>72</v>
      </c>
      <c r="C147" s="19">
        <v>2363.9899999999998</v>
      </c>
      <c r="D147">
        <f t="shared" si="2"/>
        <v>2389.73</v>
      </c>
      <c r="E147" s="16">
        <f>Table5[[#This Row],[Close]]/Table5[[#This Row],[runnig max]]-1</f>
        <v>-1.0771091294832558E-2</v>
      </c>
    </row>
    <row r="148" spans="1:5" x14ac:dyDescent="0.35">
      <c r="A148" s="21" t="s">
        <v>41</v>
      </c>
      <c r="B148" s="18" t="s">
        <v>72</v>
      </c>
      <c r="C148" s="18">
        <v>2375.33</v>
      </c>
      <c r="D148">
        <f t="shared" si="2"/>
        <v>2389.73</v>
      </c>
      <c r="E148" s="16">
        <f>Table5[[#This Row],[Close]]/Table5[[#This Row],[runnig max]]-1</f>
        <v>-6.0257853397664984E-3</v>
      </c>
    </row>
    <row r="149" spans="1:5" x14ac:dyDescent="0.35">
      <c r="A149" s="22" t="s">
        <v>40</v>
      </c>
      <c r="B149" s="19" t="s">
        <v>72</v>
      </c>
      <c r="C149" s="19">
        <v>2359.7800000000002</v>
      </c>
      <c r="D149">
        <f t="shared" si="2"/>
        <v>2389.73</v>
      </c>
      <c r="E149" s="16">
        <f>Table5[[#This Row],[Close]]/Table5[[#This Row],[runnig max]]-1</f>
        <v>-1.2532796592083506E-2</v>
      </c>
    </row>
    <row r="150" spans="1:5" x14ac:dyDescent="0.35">
      <c r="A150" s="21" t="s">
        <v>39</v>
      </c>
      <c r="B150" s="18" t="s">
        <v>72</v>
      </c>
      <c r="C150" s="18">
        <v>2372.94</v>
      </c>
      <c r="D150">
        <f t="shared" si="2"/>
        <v>2389.73</v>
      </c>
      <c r="E150" s="16">
        <f>Table5[[#This Row],[Close]]/Table5[[#This Row],[runnig max]]-1</f>
        <v>-7.0258983232415195E-3</v>
      </c>
    </row>
    <row r="151" spans="1:5" x14ac:dyDescent="0.35">
      <c r="A151" s="22" t="s">
        <v>38</v>
      </c>
      <c r="B151" s="19" t="s">
        <v>72</v>
      </c>
      <c r="C151" s="19">
        <v>2388.25</v>
      </c>
      <c r="D151">
        <f t="shared" si="2"/>
        <v>2389.73</v>
      </c>
      <c r="E151" s="16">
        <f>Table5[[#This Row],[Close]]/Table5[[#This Row],[runnig max]]-1</f>
        <v>-6.1931682658711296E-4</v>
      </c>
    </row>
    <row r="152" spans="1:5" x14ac:dyDescent="0.35">
      <c r="A152" s="21" t="s">
        <v>37</v>
      </c>
      <c r="B152" s="18" t="s">
        <v>72</v>
      </c>
      <c r="C152" s="18">
        <v>2362.0700000000002</v>
      </c>
      <c r="D152">
        <f t="shared" si="2"/>
        <v>2389.73</v>
      </c>
      <c r="E152" s="16">
        <f>Table5[[#This Row],[Close]]/Table5[[#This Row],[runnig max]]-1</f>
        <v>-1.1574529340134587E-2</v>
      </c>
    </row>
    <row r="153" spans="1:5" x14ac:dyDescent="0.35">
      <c r="A153" s="22" t="s">
        <v>36</v>
      </c>
      <c r="B153" s="19" t="s">
        <v>72</v>
      </c>
      <c r="C153" s="19">
        <v>2367.7600000000002</v>
      </c>
      <c r="D153">
        <f t="shared" si="2"/>
        <v>2389.73</v>
      </c>
      <c r="E153" s="16">
        <f>Table5[[#This Row],[Close]]/Table5[[#This Row],[runnig max]]-1</f>
        <v>-9.1935072162963039E-3</v>
      </c>
    </row>
    <row r="154" spans="1:5" x14ac:dyDescent="0.35">
      <c r="A154" s="21" t="s">
        <v>35</v>
      </c>
      <c r="B154" s="18" t="s">
        <v>72</v>
      </c>
      <c r="C154" s="18">
        <v>2347.09</v>
      </c>
      <c r="D154">
        <f t="shared" si="2"/>
        <v>2389.73</v>
      </c>
      <c r="E154" s="16">
        <f>Table5[[#This Row],[Close]]/Table5[[#This Row],[runnig max]]-1</f>
        <v>-1.7843019922752723E-2</v>
      </c>
    </row>
    <row r="155" spans="1:5" x14ac:dyDescent="0.35">
      <c r="A155" s="22" t="s">
        <v>34</v>
      </c>
      <c r="B155" s="19" t="s">
        <v>72</v>
      </c>
      <c r="C155" s="19">
        <v>2378.27</v>
      </c>
      <c r="D155">
        <f t="shared" si="2"/>
        <v>2389.73</v>
      </c>
      <c r="E155" s="16">
        <f>Table5[[#This Row],[Close]]/Table5[[#This Row],[runnig max]]-1</f>
        <v>-4.7955208328974708E-3</v>
      </c>
    </row>
    <row r="156" spans="1:5" x14ac:dyDescent="0.35">
      <c r="A156" s="21" t="s">
        <v>33</v>
      </c>
      <c r="B156" s="18" t="s">
        <v>72</v>
      </c>
      <c r="C156" s="18">
        <v>2360.67</v>
      </c>
      <c r="D156">
        <f t="shared" si="2"/>
        <v>2389.73</v>
      </c>
      <c r="E156" s="16">
        <f>Table5[[#This Row],[Close]]/Table5[[#This Row],[runnig max]]-1</f>
        <v>-1.2160369581500796E-2</v>
      </c>
    </row>
    <row r="157" spans="1:5" x14ac:dyDescent="0.35">
      <c r="A157" s="22" t="s">
        <v>32</v>
      </c>
      <c r="B157" s="19" t="s">
        <v>72</v>
      </c>
      <c r="C157" s="19">
        <v>2379.1999999999998</v>
      </c>
      <c r="D157">
        <f t="shared" si="2"/>
        <v>2389.73</v>
      </c>
      <c r="E157" s="16">
        <f>Table5[[#This Row],[Close]]/Table5[[#This Row],[runnig max]]-1</f>
        <v>-4.4063555297042534E-3</v>
      </c>
    </row>
    <row r="158" spans="1:5" x14ac:dyDescent="0.35">
      <c r="A158" s="21" t="s">
        <v>31</v>
      </c>
      <c r="B158" s="18" t="s">
        <v>72</v>
      </c>
      <c r="C158" s="18">
        <v>2374.9899999999998</v>
      </c>
      <c r="D158">
        <f t="shared" si="2"/>
        <v>2389.73</v>
      </c>
      <c r="E158" s="16">
        <f>Table5[[#This Row],[Close]]/Table5[[#This Row],[runnig max]]-1</f>
        <v>-6.1680608269554238E-3</v>
      </c>
    </row>
    <row r="159" spans="1:5" x14ac:dyDescent="0.35">
      <c r="A159" s="22" t="s">
        <v>30</v>
      </c>
      <c r="B159" s="19" t="s">
        <v>72</v>
      </c>
      <c r="C159" s="19">
        <v>2368.66</v>
      </c>
      <c r="D159">
        <f t="shared" si="2"/>
        <v>2389.73</v>
      </c>
      <c r="E159" s="16">
        <f>Table5[[#This Row],[Close]]/Table5[[#This Row],[runnig max]]-1</f>
        <v>-8.8168956325610504E-3</v>
      </c>
    </row>
    <row r="160" spans="1:5" x14ac:dyDescent="0.35">
      <c r="A160" s="21" t="s">
        <v>29</v>
      </c>
      <c r="B160" s="18" t="s">
        <v>72</v>
      </c>
      <c r="C160" s="18">
        <v>2358.1999999999998</v>
      </c>
      <c r="D160">
        <f t="shared" si="2"/>
        <v>2389.73</v>
      </c>
      <c r="E160" s="16">
        <f>Table5[[#This Row],[Close]]/Table5[[#This Row],[runnig max]]-1</f>
        <v>-1.3193959150196943E-2</v>
      </c>
    </row>
    <row r="161" spans="1:5" x14ac:dyDescent="0.35">
      <c r="A161" s="22" t="s">
        <v>28</v>
      </c>
      <c r="B161" s="19" t="s">
        <v>72</v>
      </c>
      <c r="C161" s="19">
        <v>2380.6799999999998</v>
      </c>
      <c r="D161">
        <f t="shared" si="2"/>
        <v>2389.73</v>
      </c>
      <c r="E161" s="16">
        <f>Table5[[#This Row],[Close]]/Table5[[#This Row],[runnig max]]-1</f>
        <v>-3.7870387031171404E-3</v>
      </c>
    </row>
    <row r="162" spans="1:5" x14ac:dyDescent="0.35">
      <c r="A162" s="21" t="s">
        <v>27</v>
      </c>
      <c r="B162" s="18" t="s">
        <v>72</v>
      </c>
      <c r="C162" s="18">
        <v>2374.83</v>
      </c>
      <c r="D162">
        <f t="shared" si="2"/>
        <v>2389.73</v>
      </c>
      <c r="E162" s="16">
        <f>Table5[[#This Row],[Close]]/Table5[[#This Row],[runnig max]]-1</f>
        <v>-6.2350139973972318E-3</v>
      </c>
    </row>
    <row r="163" spans="1:5" x14ac:dyDescent="0.35">
      <c r="A163" s="22" t="s">
        <v>26</v>
      </c>
      <c r="B163" s="19" t="s">
        <v>72</v>
      </c>
      <c r="C163" s="19">
        <v>2375.5100000000002</v>
      </c>
      <c r="D163">
        <f t="shared" si="2"/>
        <v>2389.73</v>
      </c>
      <c r="E163" s="16">
        <f>Table5[[#This Row],[Close]]/Table5[[#This Row],[runnig max]]-1</f>
        <v>-5.9504630230192701E-3</v>
      </c>
    </row>
    <row r="164" spans="1:5" x14ac:dyDescent="0.35">
      <c r="A164" s="21" t="s">
        <v>25</v>
      </c>
      <c r="B164" s="18" t="s">
        <v>72</v>
      </c>
      <c r="C164" s="18">
        <v>2358.62</v>
      </c>
      <c r="D164">
        <f t="shared" si="2"/>
        <v>2389.73</v>
      </c>
      <c r="E164" s="16">
        <f>Table5[[#This Row],[Close]]/Table5[[#This Row],[runnig max]]-1</f>
        <v>-1.3018207077787114E-2</v>
      </c>
    </row>
    <row r="165" spans="1:5" x14ac:dyDescent="0.35">
      <c r="A165" s="22" t="s">
        <v>24</v>
      </c>
      <c r="B165" s="19" t="s">
        <v>72</v>
      </c>
      <c r="C165" s="19">
        <v>2388</v>
      </c>
      <c r="D165">
        <f t="shared" si="2"/>
        <v>2389.73</v>
      </c>
      <c r="E165" s="16">
        <f>Table5[[#This Row],[Close]]/Table5[[#This Row],[runnig max]]-1</f>
        <v>-7.2393115540247965E-4</v>
      </c>
    </row>
    <row r="166" spans="1:5" x14ac:dyDescent="0.35">
      <c r="A166" s="21" t="s">
        <v>23</v>
      </c>
      <c r="B166" s="18" t="s">
        <v>72</v>
      </c>
      <c r="C166" s="18">
        <v>2373.75</v>
      </c>
      <c r="D166">
        <f t="shared" si="2"/>
        <v>2389.73</v>
      </c>
      <c r="E166" s="16">
        <f>Table5[[#This Row],[Close]]/Table5[[#This Row],[runnig max]]-1</f>
        <v>-6.6869478978797137E-3</v>
      </c>
    </row>
    <row r="167" spans="1:5" x14ac:dyDescent="0.35">
      <c r="A167" s="22" t="s">
        <v>22</v>
      </c>
      <c r="B167" s="19" t="s">
        <v>72</v>
      </c>
      <c r="C167" s="19">
        <v>2372.4899999999998</v>
      </c>
      <c r="D167">
        <f t="shared" si="2"/>
        <v>2389.73</v>
      </c>
      <c r="E167" s="16">
        <f>Table5[[#This Row],[Close]]/Table5[[#This Row],[runnig max]]-1</f>
        <v>-7.2142041151093128E-3</v>
      </c>
    </row>
    <row r="168" spans="1:5" x14ac:dyDescent="0.35">
      <c r="A168" s="21" t="s">
        <v>21</v>
      </c>
      <c r="B168" s="18" t="s">
        <v>72</v>
      </c>
      <c r="C168" s="18">
        <v>2370.77</v>
      </c>
      <c r="D168">
        <f t="shared" si="2"/>
        <v>2389.73</v>
      </c>
      <c r="E168" s="16">
        <f>Table5[[#This Row],[Close]]/Table5[[#This Row],[runnig max]]-1</f>
        <v>-7.9339506973591378E-3</v>
      </c>
    </row>
    <row r="169" spans="1:5" x14ac:dyDescent="0.35">
      <c r="A169" s="22" t="s">
        <v>20</v>
      </c>
      <c r="B169" s="19" t="s">
        <v>72</v>
      </c>
      <c r="C169" s="19">
        <v>2379.1999999999998</v>
      </c>
      <c r="D169">
        <f t="shared" si="2"/>
        <v>2389.73</v>
      </c>
      <c r="E169" s="16">
        <f>Table5[[#This Row],[Close]]/Table5[[#This Row],[runnig max]]-1</f>
        <v>-4.4063555297042534E-3</v>
      </c>
    </row>
    <row r="170" spans="1:5" x14ac:dyDescent="0.35">
      <c r="A170" s="21" t="s">
        <v>19</v>
      </c>
      <c r="B170" s="18" t="s">
        <v>72</v>
      </c>
      <c r="C170" s="18">
        <v>2378.81</v>
      </c>
      <c r="D170">
        <f t="shared" si="2"/>
        <v>2389.73</v>
      </c>
      <c r="E170" s="16">
        <f>Table5[[#This Row],[Close]]/Table5[[#This Row],[runnig max]]-1</f>
        <v>-4.5695538826562299E-3</v>
      </c>
    </row>
    <row r="171" spans="1:5" x14ac:dyDescent="0.35">
      <c r="A171" s="22" t="s">
        <v>18</v>
      </c>
      <c r="B171" s="19" t="s">
        <v>72</v>
      </c>
      <c r="C171" s="19">
        <v>2386.2600000000002</v>
      </c>
      <c r="D171">
        <f t="shared" si="2"/>
        <v>2389.73</v>
      </c>
      <c r="E171" s="16">
        <f>Table5[[#This Row],[Close]]/Table5[[#This Row],[runnig max]]-1</f>
        <v>-1.4520468839575029E-3</v>
      </c>
    </row>
    <row r="172" spans="1:5" x14ac:dyDescent="0.35">
      <c r="A172" s="21" t="s">
        <v>17</v>
      </c>
      <c r="B172" s="18" t="s">
        <v>72</v>
      </c>
      <c r="C172" s="18">
        <v>2350.31</v>
      </c>
      <c r="D172">
        <f t="shared" si="2"/>
        <v>2389.73</v>
      </c>
      <c r="E172" s="16">
        <f>Table5[[#This Row],[Close]]/Table5[[#This Row],[runnig max]]-1</f>
        <v>-1.6495587367610587E-2</v>
      </c>
    </row>
    <row r="173" spans="1:5" x14ac:dyDescent="0.35">
      <c r="A173" s="22" t="s">
        <v>16</v>
      </c>
      <c r="B173" s="19" t="s">
        <v>72</v>
      </c>
      <c r="C173" s="19">
        <v>2367.92</v>
      </c>
      <c r="D173">
        <f t="shared" si="2"/>
        <v>2389.73</v>
      </c>
      <c r="E173" s="16">
        <f>Table5[[#This Row],[Close]]/Table5[[#This Row],[runnig max]]-1</f>
        <v>-9.1265540458544958E-3</v>
      </c>
    </row>
    <row r="174" spans="1:5" x14ac:dyDescent="0.35">
      <c r="A174" s="21" t="s">
        <v>15</v>
      </c>
      <c r="B174" s="18" t="s">
        <v>72</v>
      </c>
      <c r="C174" s="18">
        <v>2367.3200000000002</v>
      </c>
      <c r="D174">
        <f t="shared" si="2"/>
        <v>2389.73</v>
      </c>
      <c r="E174" s="16">
        <f>Table5[[#This Row],[Close]]/Table5[[#This Row],[runnig max]]-1</f>
        <v>-9.3776284350114425E-3</v>
      </c>
    </row>
    <row r="175" spans="1:5" x14ac:dyDescent="0.35">
      <c r="A175" s="22" t="s">
        <v>14</v>
      </c>
      <c r="B175" s="19" t="s">
        <v>72</v>
      </c>
      <c r="C175" s="19">
        <v>2358.73</v>
      </c>
      <c r="D175">
        <f t="shared" si="2"/>
        <v>2389.73</v>
      </c>
      <c r="E175" s="16">
        <f>Table5[[#This Row],[Close]]/Table5[[#This Row],[runnig max]]-1</f>
        <v>-1.2972176773108246E-2</v>
      </c>
    </row>
    <row r="176" spans="1:5" x14ac:dyDescent="0.35">
      <c r="A176" s="21" t="s">
        <v>13</v>
      </c>
      <c r="B176" s="18" t="s">
        <v>72</v>
      </c>
      <c r="C176" s="18">
        <v>2370.62</v>
      </c>
      <c r="D176">
        <f t="shared" si="2"/>
        <v>2389.73</v>
      </c>
      <c r="E176" s="16">
        <f>Table5[[#This Row],[Close]]/Table5[[#This Row],[runnig max]]-1</f>
        <v>-7.9967192946484023E-3</v>
      </c>
    </row>
    <row r="177" spans="1:5" x14ac:dyDescent="0.35">
      <c r="A177" s="22" t="s">
        <v>12</v>
      </c>
      <c r="B177" s="19" t="s">
        <v>72</v>
      </c>
      <c r="C177" s="19">
        <v>2372.81</v>
      </c>
      <c r="D177">
        <f t="shared" si="2"/>
        <v>2389.73</v>
      </c>
      <c r="E177" s="16">
        <f>Table5[[#This Row],[Close]]/Table5[[#This Row],[runnig max]]-1</f>
        <v>-7.0802977742255857E-3</v>
      </c>
    </row>
    <row r="178" spans="1:5" x14ac:dyDescent="0.35">
      <c r="A178" s="21" t="s">
        <v>11</v>
      </c>
      <c r="B178" s="18" t="s">
        <v>72</v>
      </c>
      <c r="C178" s="18">
        <v>2365.3000000000002</v>
      </c>
      <c r="D178">
        <f t="shared" si="2"/>
        <v>2389.73</v>
      </c>
      <c r="E178" s="16">
        <f>Table5[[#This Row],[Close]]/Table5[[#This Row],[runnig max]]-1</f>
        <v>-1.0222912211839796E-2</v>
      </c>
    </row>
    <row r="179" spans="1:5" x14ac:dyDescent="0.35">
      <c r="A179" s="22" t="s">
        <v>10</v>
      </c>
      <c r="B179" s="19" t="s">
        <v>72</v>
      </c>
      <c r="C179" s="19">
        <v>2367.3200000000002</v>
      </c>
      <c r="D179">
        <f t="shared" si="2"/>
        <v>2389.73</v>
      </c>
      <c r="E179" s="16">
        <f>Table5[[#This Row],[Close]]/Table5[[#This Row],[runnig max]]-1</f>
        <v>-9.3776284350114425E-3</v>
      </c>
    </row>
    <row r="180" spans="1:5" x14ac:dyDescent="0.35">
      <c r="A180" s="21" t="s">
        <v>9</v>
      </c>
      <c r="B180" s="18" t="s">
        <v>72</v>
      </c>
      <c r="C180" s="18">
        <v>2363.1799999999998</v>
      </c>
      <c r="D180">
        <f t="shared" si="2"/>
        <v>2389.73</v>
      </c>
      <c r="E180" s="16">
        <f>Table5[[#This Row],[Close]]/Table5[[#This Row],[runnig max]]-1</f>
        <v>-1.1110041720194364E-2</v>
      </c>
    </row>
    <row r="181" spans="1:5" x14ac:dyDescent="0.35">
      <c r="A181" s="22" t="s">
        <v>8</v>
      </c>
      <c r="B181" s="19" t="s">
        <v>72</v>
      </c>
      <c r="C181" s="19">
        <v>2354.52</v>
      </c>
      <c r="D181">
        <f t="shared" si="2"/>
        <v>2389.73</v>
      </c>
      <c r="E181" s="16">
        <f>Table5[[#This Row],[Close]]/Table5[[#This Row],[runnig max]]-1</f>
        <v>-1.4733882070359416E-2</v>
      </c>
    </row>
    <row r="182" spans="1:5" x14ac:dyDescent="0.35">
      <c r="A182" s="21" t="s">
        <v>67</v>
      </c>
      <c r="B182" s="18" t="s">
        <v>68</v>
      </c>
      <c r="C182" s="18">
        <v>2901.47</v>
      </c>
      <c r="D182">
        <f t="shared" si="2"/>
        <v>2901.47</v>
      </c>
      <c r="E182" s="16">
        <f>Table5[[#This Row],[Close]]/Table5[[#This Row],[runnig max]]-1</f>
        <v>0</v>
      </c>
    </row>
    <row r="183" spans="1:5" x14ac:dyDescent="0.35">
      <c r="A183" s="22" t="s">
        <v>66</v>
      </c>
      <c r="B183" s="19" t="s">
        <v>68</v>
      </c>
      <c r="C183" s="19">
        <v>2910.52</v>
      </c>
      <c r="D183">
        <f t="shared" si="2"/>
        <v>2910.52</v>
      </c>
      <c r="E183" s="16">
        <f>Table5[[#This Row],[Close]]/Table5[[#This Row],[runnig max]]-1</f>
        <v>0</v>
      </c>
    </row>
    <row r="184" spans="1:5" x14ac:dyDescent="0.35">
      <c r="A184" s="21" t="s">
        <v>65</v>
      </c>
      <c r="B184" s="18" t="s">
        <v>68</v>
      </c>
      <c r="C184" s="18">
        <v>2888.71</v>
      </c>
      <c r="D184">
        <f t="shared" si="2"/>
        <v>2910.52</v>
      </c>
      <c r="E184" s="16">
        <f>Table5[[#This Row],[Close]]/Table5[[#This Row],[runnig max]]-1</f>
        <v>-7.4935063150227688E-3</v>
      </c>
    </row>
    <row r="185" spans="1:5" x14ac:dyDescent="0.35">
      <c r="A185" s="22" t="s">
        <v>64</v>
      </c>
      <c r="B185" s="19" t="s">
        <v>68</v>
      </c>
      <c r="C185" s="19">
        <v>2872.62</v>
      </c>
      <c r="D185">
        <f t="shared" si="2"/>
        <v>2910.52</v>
      </c>
      <c r="E185" s="16">
        <f>Table5[[#This Row],[Close]]/Table5[[#This Row],[runnig max]]-1</f>
        <v>-1.3021728076082706E-2</v>
      </c>
    </row>
    <row r="186" spans="1:5" x14ac:dyDescent="0.35">
      <c r="A186" s="21" t="s">
        <v>63</v>
      </c>
      <c r="B186" s="18" t="s">
        <v>68</v>
      </c>
      <c r="C186" s="18">
        <v>2920.44</v>
      </c>
      <c r="D186">
        <f t="shared" si="2"/>
        <v>2920.44</v>
      </c>
      <c r="E186" s="16">
        <f>Table5[[#This Row],[Close]]/Table5[[#This Row],[runnig max]]-1</f>
        <v>0</v>
      </c>
    </row>
    <row r="187" spans="1:5" x14ac:dyDescent="0.35">
      <c r="A187" s="22" t="s">
        <v>62</v>
      </c>
      <c r="B187" s="19" t="s">
        <v>68</v>
      </c>
      <c r="C187" s="19">
        <v>2887.41</v>
      </c>
      <c r="D187">
        <f t="shared" si="2"/>
        <v>2920.44</v>
      </c>
      <c r="E187" s="16">
        <f>Table5[[#This Row],[Close]]/Table5[[#This Row],[runnig max]]-1</f>
        <v>-1.130993959814286E-2</v>
      </c>
    </row>
    <row r="188" spans="1:5" x14ac:dyDescent="0.35">
      <c r="A188" s="21" t="s">
        <v>61</v>
      </c>
      <c r="B188" s="18" t="s">
        <v>68</v>
      </c>
      <c r="C188" s="18">
        <v>2878.36</v>
      </c>
      <c r="D188">
        <f t="shared" si="2"/>
        <v>2920.44</v>
      </c>
      <c r="E188" s="16">
        <f>Table5[[#This Row],[Close]]/Table5[[#This Row],[runnig max]]-1</f>
        <v>-1.4408787716919336E-2</v>
      </c>
    </row>
    <row r="189" spans="1:5" x14ac:dyDescent="0.35">
      <c r="A189" s="22" t="s">
        <v>60</v>
      </c>
      <c r="B189" s="19" t="s">
        <v>68</v>
      </c>
      <c r="C189" s="19">
        <v>2882.98</v>
      </c>
      <c r="D189">
        <f t="shared" si="2"/>
        <v>2920.44</v>
      </c>
      <c r="E189" s="16">
        <f>Table5[[#This Row],[Close]]/Table5[[#This Row],[runnig max]]-1</f>
        <v>-1.2826834312637869E-2</v>
      </c>
    </row>
    <row r="190" spans="1:5" x14ac:dyDescent="0.35">
      <c r="A190" s="21" t="s">
        <v>59</v>
      </c>
      <c r="B190" s="18" t="s">
        <v>68</v>
      </c>
      <c r="C190" s="18">
        <v>2890.92</v>
      </c>
      <c r="D190">
        <f t="shared" si="2"/>
        <v>2920.44</v>
      </c>
      <c r="E190" s="16">
        <f>Table5[[#This Row],[Close]]/Table5[[#This Row],[runnig max]]-1</f>
        <v>-1.010806590787694E-2</v>
      </c>
    </row>
    <row r="191" spans="1:5" x14ac:dyDescent="0.35">
      <c r="A191" s="22" t="s">
        <v>58</v>
      </c>
      <c r="B191" s="19" t="s">
        <v>68</v>
      </c>
      <c r="C191" s="19">
        <v>2913.52</v>
      </c>
      <c r="D191">
        <f t="shared" si="2"/>
        <v>2920.44</v>
      </c>
      <c r="E191" s="16">
        <f>Table5[[#This Row],[Close]]/Table5[[#This Row],[runnig max]]-1</f>
        <v>-2.3695059648546346E-3</v>
      </c>
    </row>
    <row r="192" spans="1:5" x14ac:dyDescent="0.35">
      <c r="A192" s="21" t="s">
        <v>57</v>
      </c>
      <c r="B192" s="18" t="s">
        <v>68</v>
      </c>
      <c r="C192" s="18">
        <v>2893.6</v>
      </c>
      <c r="D192">
        <f t="shared" si="2"/>
        <v>2920.44</v>
      </c>
      <c r="E192" s="16">
        <f>Table5[[#This Row],[Close]]/Table5[[#This Row],[runnig max]]-1</f>
        <v>-9.1903959677309688E-3</v>
      </c>
    </row>
    <row r="193" spans="1:5" x14ac:dyDescent="0.35">
      <c r="A193" s="22" t="s">
        <v>56</v>
      </c>
      <c r="B193" s="19" t="s">
        <v>68</v>
      </c>
      <c r="C193" s="19">
        <v>2894.34</v>
      </c>
      <c r="D193">
        <f t="shared" si="2"/>
        <v>2920.44</v>
      </c>
      <c r="E193" s="16">
        <f>Table5[[#This Row],[Close]]/Table5[[#This Row],[runnig max]]-1</f>
        <v>-8.9370094917203824E-3</v>
      </c>
    </row>
    <row r="194" spans="1:5" x14ac:dyDescent="0.35">
      <c r="A194" s="21" t="s">
        <v>55</v>
      </c>
      <c r="B194" s="18" t="s">
        <v>68</v>
      </c>
      <c r="C194" s="18">
        <v>2892.64</v>
      </c>
      <c r="D194">
        <f t="shared" ref="D194:D257" si="3">IF(B194=B193, MAX(D193, C194), C194)</f>
        <v>2920.44</v>
      </c>
      <c r="E194" s="16">
        <f>Table5[[#This Row],[Close]]/Table5[[#This Row],[runnig max]]-1</f>
        <v>-9.5191135582309849E-3</v>
      </c>
    </row>
    <row r="195" spans="1:5" x14ac:dyDescent="0.35">
      <c r="A195" s="22" t="s">
        <v>54</v>
      </c>
      <c r="B195" s="19" t="s">
        <v>68</v>
      </c>
      <c r="C195" s="19">
        <v>2885.71</v>
      </c>
      <c r="D195">
        <f t="shared" si="3"/>
        <v>2920.44</v>
      </c>
      <c r="E195" s="16">
        <f>Table5[[#This Row],[Close]]/Table5[[#This Row],[runnig max]]-1</f>
        <v>-1.189204366465324E-2</v>
      </c>
    </row>
    <row r="196" spans="1:5" x14ac:dyDescent="0.35">
      <c r="A196" s="21" t="s">
        <v>53</v>
      </c>
      <c r="B196" s="18" t="s">
        <v>68</v>
      </c>
      <c r="C196" s="18">
        <v>2883.87</v>
      </c>
      <c r="D196">
        <f t="shared" si="3"/>
        <v>2920.44</v>
      </c>
      <c r="E196" s="16">
        <f>Table5[[#This Row],[Close]]/Table5[[#This Row],[runnig max]]-1</f>
        <v>-1.2522085713111752E-2</v>
      </c>
    </row>
    <row r="197" spans="1:5" x14ac:dyDescent="0.35">
      <c r="A197" s="22" t="s">
        <v>52</v>
      </c>
      <c r="B197" s="19" t="s">
        <v>68</v>
      </c>
      <c r="C197" s="19">
        <v>2882.5</v>
      </c>
      <c r="D197">
        <f t="shared" si="3"/>
        <v>2920.44</v>
      </c>
      <c r="E197" s="16">
        <f>Table5[[#This Row],[Close]]/Table5[[#This Row],[runnig max]]-1</f>
        <v>-1.2991193107887877E-2</v>
      </c>
    </row>
    <row r="198" spans="1:5" x14ac:dyDescent="0.35">
      <c r="A198" s="21" t="s">
        <v>51</v>
      </c>
      <c r="B198" s="18" t="s">
        <v>68</v>
      </c>
      <c r="C198" s="18">
        <v>2882.01</v>
      </c>
      <c r="D198">
        <f t="shared" si="3"/>
        <v>2920.44</v>
      </c>
      <c r="E198" s="16">
        <f>Table5[[#This Row],[Close]]/Table5[[#This Row],[runnig max]]-1</f>
        <v>-1.3158976044705506E-2</v>
      </c>
    </row>
    <row r="199" spans="1:5" x14ac:dyDescent="0.35">
      <c r="A199" s="22" t="s">
        <v>50</v>
      </c>
      <c r="B199" s="19" t="s">
        <v>68</v>
      </c>
      <c r="C199" s="19">
        <v>2895</v>
      </c>
      <c r="D199">
        <f t="shared" si="3"/>
        <v>2920.44</v>
      </c>
      <c r="E199" s="16">
        <f>Table5[[#This Row],[Close]]/Table5[[#This Row],[runnig max]]-1</f>
        <v>-8.711016148251649E-3</v>
      </c>
    </row>
    <row r="200" spans="1:5" x14ac:dyDescent="0.35">
      <c r="A200" s="21" t="s">
        <v>49</v>
      </c>
      <c r="B200" s="18" t="s">
        <v>68</v>
      </c>
      <c r="C200" s="18">
        <v>2894.37</v>
      </c>
      <c r="D200">
        <f t="shared" si="3"/>
        <v>2920.44</v>
      </c>
      <c r="E200" s="16">
        <f>Table5[[#This Row],[Close]]/Table5[[#This Row],[runnig max]]-1</f>
        <v>-8.9267370670174095E-3</v>
      </c>
    </row>
    <row r="201" spans="1:5" x14ac:dyDescent="0.35">
      <c r="A201" s="22" t="s">
        <v>48</v>
      </c>
      <c r="B201" s="19" t="s">
        <v>68</v>
      </c>
      <c r="C201" s="19">
        <v>2903.65</v>
      </c>
      <c r="D201">
        <f t="shared" si="3"/>
        <v>2920.44</v>
      </c>
      <c r="E201" s="16">
        <f>Table5[[#This Row],[Close]]/Table5[[#This Row],[runnig max]]-1</f>
        <v>-5.749133692183328E-3</v>
      </c>
    </row>
    <row r="202" spans="1:5" x14ac:dyDescent="0.35">
      <c r="A202" s="21" t="s">
        <v>47</v>
      </c>
      <c r="B202" s="18" t="s">
        <v>68</v>
      </c>
      <c r="C202" s="18">
        <v>2875.57</v>
      </c>
      <c r="D202">
        <f t="shared" si="3"/>
        <v>2920.44</v>
      </c>
      <c r="E202" s="16">
        <f>Table5[[#This Row],[Close]]/Table5[[#This Row],[runnig max]]-1</f>
        <v>-1.5364123214310133E-2</v>
      </c>
    </row>
    <row r="203" spans="1:5" x14ac:dyDescent="0.35">
      <c r="A203" s="22" t="s">
        <v>46</v>
      </c>
      <c r="B203" s="19" t="s">
        <v>68</v>
      </c>
      <c r="C203" s="19">
        <v>2912.24</v>
      </c>
      <c r="D203">
        <f t="shared" si="3"/>
        <v>2920.44</v>
      </c>
      <c r="E203" s="16">
        <f>Table5[[#This Row],[Close]]/Table5[[#This Row],[runnig max]]-1</f>
        <v>-2.8077960855215078E-3</v>
      </c>
    </row>
    <row r="204" spans="1:5" x14ac:dyDescent="0.35">
      <c r="A204" s="21" t="s">
        <v>45</v>
      </c>
      <c r="B204" s="18" t="s">
        <v>68</v>
      </c>
      <c r="C204" s="18">
        <v>2893.81</v>
      </c>
      <c r="D204">
        <f t="shared" si="3"/>
        <v>2920.44</v>
      </c>
      <c r="E204" s="16">
        <f>Table5[[#This Row],[Close]]/Table5[[#This Row],[runnig max]]-1</f>
        <v>-9.1184889948090486E-3</v>
      </c>
    </row>
    <row r="205" spans="1:5" x14ac:dyDescent="0.35">
      <c r="A205" s="22" t="s">
        <v>44</v>
      </c>
      <c r="B205" s="19" t="s">
        <v>68</v>
      </c>
      <c r="C205" s="19">
        <v>2896.42</v>
      </c>
      <c r="D205">
        <f t="shared" si="3"/>
        <v>2920.44</v>
      </c>
      <c r="E205" s="16">
        <f>Table5[[#This Row],[Close]]/Table5[[#This Row],[runnig max]]-1</f>
        <v>-8.2247880456369771E-3</v>
      </c>
    </row>
    <row r="206" spans="1:5" x14ac:dyDescent="0.35">
      <c r="A206" s="21" t="s">
        <v>43</v>
      </c>
      <c r="B206" s="18" t="s">
        <v>68</v>
      </c>
      <c r="C206" s="18">
        <v>2876.73</v>
      </c>
      <c r="D206">
        <f t="shared" si="3"/>
        <v>2920.44</v>
      </c>
      <c r="E206" s="16">
        <f>Table5[[#This Row],[Close]]/Table5[[#This Row],[runnig max]]-1</f>
        <v>-1.4966922792455928E-2</v>
      </c>
    </row>
    <row r="207" spans="1:5" x14ac:dyDescent="0.35">
      <c r="A207" s="22" t="s">
        <v>42</v>
      </c>
      <c r="B207" s="19" t="s">
        <v>68</v>
      </c>
      <c r="C207" s="19">
        <v>2866.82</v>
      </c>
      <c r="D207">
        <f t="shared" si="3"/>
        <v>2920.44</v>
      </c>
      <c r="E207" s="16">
        <f>Table5[[#This Row],[Close]]/Table5[[#This Row],[runnig max]]-1</f>
        <v>-1.8360247086055437E-2</v>
      </c>
    </row>
    <row r="208" spans="1:5" x14ac:dyDescent="0.35">
      <c r="A208" s="21" t="s">
        <v>41</v>
      </c>
      <c r="B208" s="18" t="s">
        <v>68</v>
      </c>
      <c r="C208" s="18">
        <v>2886.03</v>
      </c>
      <c r="D208">
        <f t="shared" si="3"/>
        <v>2920.44</v>
      </c>
      <c r="E208" s="16">
        <f>Table5[[#This Row],[Close]]/Table5[[#This Row],[runnig max]]-1</f>
        <v>-1.1782471134486494E-2</v>
      </c>
    </row>
    <row r="209" spans="1:5" x14ac:dyDescent="0.35">
      <c r="A209" s="22" t="s">
        <v>40</v>
      </c>
      <c r="B209" s="19" t="s">
        <v>68</v>
      </c>
      <c r="C209" s="19">
        <v>2892.55</v>
      </c>
      <c r="D209">
        <f t="shared" si="3"/>
        <v>2920.44</v>
      </c>
      <c r="E209" s="16">
        <f>Table5[[#This Row],[Close]]/Table5[[#This Row],[runnig max]]-1</f>
        <v>-9.5499308323402365E-3</v>
      </c>
    </row>
    <row r="210" spans="1:5" x14ac:dyDescent="0.35">
      <c r="A210" s="21" t="s">
        <v>39</v>
      </c>
      <c r="B210" s="18" t="s">
        <v>68</v>
      </c>
      <c r="C210" s="18">
        <v>2883.12</v>
      </c>
      <c r="D210">
        <f t="shared" si="3"/>
        <v>2920.44</v>
      </c>
      <c r="E210" s="16">
        <f>Table5[[#This Row],[Close]]/Table5[[#This Row],[runnig max]]-1</f>
        <v>-1.2778896330689959E-2</v>
      </c>
    </row>
    <row r="211" spans="1:5" x14ac:dyDescent="0.35">
      <c r="A211" s="22" t="s">
        <v>38</v>
      </c>
      <c r="B211" s="19" t="s">
        <v>68</v>
      </c>
      <c r="C211" s="19">
        <v>2871.13</v>
      </c>
      <c r="D211">
        <f t="shared" si="3"/>
        <v>2920.44</v>
      </c>
      <c r="E211" s="16">
        <f>Table5[[#This Row],[Close]]/Table5[[#This Row],[runnig max]]-1</f>
        <v>-1.6884442070372985E-2</v>
      </c>
    </row>
    <row r="212" spans="1:5" x14ac:dyDescent="0.35">
      <c r="A212" s="21" t="s">
        <v>37</v>
      </c>
      <c r="B212" s="18" t="s">
        <v>68</v>
      </c>
      <c r="C212" s="18">
        <v>2912.36</v>
      </c>
      <c r="D212">
        <f t="shared" si="3"/>
        <v>2920.44</v>
      </c>
      <c r="E212" s="16">
        <f>Table5[[#This Row],[Close]]/Table5[[#This Row],[runnig max]]-1</f>
        <v>-2.7667063867088393E-3</v>
      </c>
    </row>
    <row r="213" spans="1:5" x14ac:dyDescent="0.35">
      <c r="A213" s="22" t="s">
        <v>36</v>
      </c>
      <c r="B213" s="19" t="s">
        <v>68</v>
      </c>
      <c r="C213" s="19">
        <v>2899.51</v>
      </c>
      <c r="D213">
        <f t="shared" si="3"/>
        <v>2920.44</v>
      </c>
      <c r="E213" s="16">
        <f>Table5[[#This Row],[Close]]/Table5[[#This Row],[runnig max]]-1</f>
        <v>-7.1667283012147864E-3</v>
      </c>
    </row>
    <row r="214" spans="1:5" x14ac:dyDescent="0.35">
      <c r="A214" s="21" t="s">
        <v>35</v>
      </c>
      <c r="B214" s="18" t="s">
        <v>68</v>
      </c>
      <c r="C214" s="18">
        <v>2876.42</v>
      </c>
      <c r="D214">
        <f t="shared" si="3"/>
        <v>2920.44</v>
      </c>
      <c r="E214" s="16">
        <f>Table5[[#This Row],[Close]]/Table5[[#This Row],[runnig max]]-1</f>
        <v>-1.5073071181054942E-2</v>
      </c>
    </row>
    <row r="215" spans="1:5" x14ac:dyDescent="0.35">
      <c r="A215" s="22" t="s">
        <v>34</v>
      </c>
      <c r="B215" s="19" t="s">
        <v>68</v>
      </c>
      <c r="C215" s="19">
        <v>2899.21</v>
      </c>
      <c r="D215">
        <f t="shared" si="3"/>
        <v>2920.44</v>
      </c>
      <c r="E215" s="16">
        <f>Table5[[#This Row],[Close]]/Table5[[#This Row],[runnig max]]-1</f>
        <v>-7.2694525482461803E-3</v>
      </c>
    </row>
    <row r="216" spans="1:5" x14ac:dyDescent="0.35">
      <c r="A216" s="21" t="s">
        <v>33</v>
      </c>
      <c r="B216" s="18" t="s">
        <v>68</v>
      </c>
      <c r="C216" s="18">
        <v>2879.56</v>
      </c>
      <c r="D216">
        <f t="shared" si="3"/>
        <v>2920.44</v>
      </c>
      <c r="E216" s="16">
        <f>Table5[[#This Row],[Close]]/Table5[[#This Row],[runnig max]]-1</f>
        <v>-1.3997890728794316E-2</v>
      </c>
    </row>
    <row r="217" spans="1:5" x14ac:dyDescent="0.35">
      <c r="A217" s="22" t="s">
        <v>32</v>
      </c>
      <c r="B217" s="19" t="s">
        <v>68</v>
      </c>
      <c r="C217" s="19">
        <v>2887.03</v>
      </c>
      <c r="D217">
        <f t="shared" si="3"/>
        <v>2920.44</v>
      </c>
      <c r="E217" s="16">
        <f>Table5[[#This Row],[Close]]/Table5[[#This Row],[runnig max]]-1</f>
        <v>-1.1440056977715662E-2</v>
      </c>
    </row>
    <row r="218" spans="1:5" x14ac:dyDescent="0.35">
      <c r="A218" s="21" t="s">
        <v>31</v>
      </c>
      <c r="B218" s="18" t="s">
        <v>68</v>
      </c>
      <c r="C218" s="18">
        <v>2863.94</v>
      </c>
      <c r="D218">
        <f t="shared" si="3"/>
        <v>2920.44</v>
      </c>
      <c r="E218" s="16">
        <f>Table5[[#This Row],[Close]]/Table5[[#This Row],[runnig max]]-1</f>
        <v>-1.9346399857555707E-2</v>
      </c>
    </row>
    <row r="219" spans="1:5" x14ac:dyDescent="0.35">
      <c r="A219" s="22" t="s">
        <v>30</v>
      </c>
      <c r="B219" s="19" t="s">
        <v>68</v>
      </c>
      <c r="C219" s="19">
        <v>2877.85</v>
      </c>
      <c r="D219">
        <f t="shared" si="3"/>
        <v>2920.44</v>
      </c>
      <c r="E219" s="16">
        <f>Table5[[#This Row],[Close]]/Table5[[#This Row],[runnig max]]-1</f>
        <v>-1.4583418936872539E-2</v>
      </c>
    </row>
    <row r="220" spans="1:5" x14ac:dyDescent="0.35">
      <c r="A220" s="21" t="s">
        <v>29</v>
      </c>
      <c r="B220" s="18" t="s">
        <v>68</v>
      </c>
      <c r="C220" s="18">
        <v>2886.85</v>
      </c>
      <c r="D220">
        <f t="shared" si="3"/>
        <v>2920.44</v>
      </c>
      <c r="E220" s="16">
        <f>Table5[[#This Row],[Close]]/Table5[[#This Row],[runnig max]]-1</f>
        <v>-1.1501691525934499E-2</v>
      </c>
    </row>
    <row r="221" spans="1:5" x14ac:dyDescent="0.35">
      <c r="A221" s="22" t="s">
        <v>28</v>
      </c>
      <c r="B221" s="19" t="s">
        <v>68</v>
      </c>
      <c r="C221" s="19">
        <v>2878.33</v>
      </c>
      <c r="D221">
        <f t="shared" si="3"/>
        <v>2920.44</v>
      </c>
      <c r="E221" s="16">
        <f>Table5[[#This Row],[Close]]/Table5[[#This Row],[runnig max]]-1</f>
        <v>-1.4419060141622531E-2</v>
      </c>
    </row>
    <row r="222" spans="1:5" x14ac:dyDescent="0.35">
      <c r="A222" s="21" t="s">
        <v>27</v>
      </c>
      <c r="B222" s="18" t="s">
        <v>68</v>
      </c>
      <c r="C222" s="18">
        <v>2879.13</v>
      </c>
      <c r="D222">
        <f t="shared" si="3"/>
        <v>2920.44</v>
      </c>
      <c r="E222" s="16">
        <f>Table5[[#This Row],[Close]]/Table5[[#This Row],[runnig max]]-1</f>
        <v>-1.4145128816205776E-2</v>
      </c>
    </row>
    <row r="223" spans="1:5" x14ac:dyDescent="0.35">
      <c r="A223" s="22" t="s">
        <v>26</v>
      </c>
      <c r="B223" s="19" t="s">
        <v>68</v>
      </c>
      <c r="C223" s="19">
        <v>2885.92</v>
      </c>
      <c r="D223">
        <f t="shared" si="3"/>
        <v>2920.44</v>
      </c>
      <c r="E223" s="16">
        <f>Table5[[#This Row],[Close]]/Table5[[#This Row],[runnig max]]-1</f>
        <v>-1.1820136691731431E-2</v>
      </c>
    </row>
    <row r="224" spans="1:5" x14ac:dyDescent="0.35">
      <c r="A224" s="21" t="s">
        <v>25</v>
      </c>
      <c r="B224" s="18" t="s">
        <v>68</v>
      </c>
      <c r="C224" s="18">
        <v>2920.13</v>
      </c>
      <c r="D224">
        <f t="shared" si="3"/>
        <v>2920.44</v>
      </c>
      <c r="E224" s="16">
        <f>Table5[[#This Row],[Close]]/Table5[[#This Row],[runnig max]]-1</f>
        <v>-1.0614838859901443E-4</v>
      </c>
    </row>
    <row r="225" spans="1:5" x14ac:dyDescent="0.35">
      <c r="A225" s="22" t="s">
        <v>24</v>
      </c>
      <c r="B225" s="19" t="s">
        <v>68</v>
      </c>
      <c r="C225" s="19">
        <v>2889.89</v>
      </c>
      <c r="D225">
        <f t="shared" si="3"/>
        <v>2920.44</v>
      </c>
      <c r="E225" s="16">
        <f>Table5[[#This Row],[Close]]/Table5[[#This Row],[runnig max]]-1</f>
        <v>-1.0460752489350966E-2</v>
      </c>
    </row>
    <row r="226" spans="1:5" x14ac:dyDescent="0.35">
      <c r="A226" s="21" t="s">
        <v>23</v>
      </c>
      <c r="B226" s="18" t="s">
        <v>68</v>
      </c>
      <c r="C226" s="18">
        <v>2893.43</v>
      </c>
      <c r="D226">
        <f t="shared" si="3"/>
        <v>2920.44</v>
      </c>
      <c r="E226" s="16">
        <f>Table5[[#This Row],[Close]]/Table5[[#This Row],[runnig max]]-1</f>
        <v>-9.2486063743819624E-3</v>
      </c>
    </row>
    <row r="227" spans="1:5" x14ac:dyDescent="0.35">
      <c r="A227" s="22" t="s">
        <v>22</v>
      </c>
      <c r="B227" s="19" t="s">
        <v>68</v>
      </c>
      <c r="C227" s="19">
        <v>2898.19</v>
      </c>
      <c r="D227">
        <f t="shared" si="3"/>
        <v>2920.44</v>
      </c>
      <c r="E227" s="16">
        <f>Table5[[#This Row],[Close]]/Table5[[#This Row],[runnig max]]-1</f>
        <v>-7.6187149881524752E-3</v>
      </c>
    </row>
    <row r="228" spans="1:5" x14ac:dyDescent="0.35">
      <c r="A228" s="21" t="s">
        <v>21</v>
      </c>
      <c r="B228" s="18" t="s">
        <v>68</v>
      </c>
      <c r="C228" s="18">
        <v>2898.58</v>
      </c>
      <c r="D228">
        <f t="shared" si="3"/>
        <v>2920.44</v>
      </c>
      <c r="E228" s="16">
        <f>Table5[[#This Row],[Close]]/Table5[[#This Row],[runnig max]]-1</f>
        <v>-7.4851734670118297E-3</v>
      </c>
    </row>
    <row r="229" spans="1:5" x14ac:dyDescent="0.35">
      <c r="A229" s="22" t="s">
        <v>20</v>
      </c>
      <c r="B229" s="19" t="s">
        <v>68</v>
      </c>
      <c r="C229" s="19">
        <v>2878.21</v>
      </c>
      <c r="D229">
        <f t="shared" si="3"/>
        <v>2920.44</v>
      </c>
      <c r="E229" s="16">
        <f>Table5[[#This Row],[Close]]/Table5[[#This Row],[runnig max]]-1</f>
        <v>-1.4460149840434977E-2</v>
      </c>
    </row>
    <row r="230" spans="1:5" x14ac:dyDescent="0.35">
      <c r="A230" s="21" t="s">
        <v>19</v>
      </c>
      <c r="B230" s="18" t="s">
        <v>68</v>
      </c>
      <c r="C230" s="18">
        <v>2873.14</v>
      </c>
      <c r="D230">
        <f t="shared" si="3"/>
        <v>2920.44</v>
      </c>
      <c r="E230" s="16">
        <f>Table5[[#This Row],[Close]]/Table5[[#This Row],[runnig max]]-1</f>
        <v>-1.6196189615263479E-2</v>
      </c>
    </row>
    <row r="231" spans="1:5" x14ac:dyDescent="0.35">
      <c r="A231" s="22" t="s">
        <v>18</v>
      </c>
      <c r="B231" s="19" t="s">
        <v>68</v>
      </c>
      <c r="C231" s="19">
        <v>2886.21</v>
      </c>
      <c r="D231">
        <f t="shared" si="3"/>
        <v>2920.44</v>
      </c>
      <c r="E231" s="16">
        <f>Table5[[#This Row],[Close]]/Table5[[#This Row],[runnig max]]-1</f>
        <v>-1.172083658626788E-2</v>
      </c>
    </row>
    <row r="232" spans="1:5" x14ac:dyDescent="0.35">
      <c r="A232" s="21" t="s">
        <v>17</v>
      </c>
      <c r="B232" s="18" t="s">
        <v>68</v>
      </c>
      <c r="C232" s="18">
        <v>2900.85</v>
      </c>
      <c r="D232">
        <f t="shared" si="3"/>
        <v>2920.44</v>
      </c>
      <c r="E232" s="16">
        <f>Table5[[#This Row],[Close]]/Table5[[#This Row],[runnig max]]-1</f>
        <v>-6.7078933311419675E-3</v>
      </c>
    </row>
    <row r="233" spans="1:5" x14ac:dyDescent="0.35">
      <c r="A233" s="22" t="s">
        <v>16</v>
      </c>
      <c r="B233" s="19" t="s">
        <v>68</v>
      </c>
      <c r="C233" s="19">
        <v>2883.01</v>
      </c>
      <c r="D233">
        <f t="shared" si="3"/>
        <v>2920.44</v>
      </c>
      <c r="E233" s="16">
        <f>Table5[[#This Row],[Close]]/Table5[[#This Row],[runnig max]]-1</f>
        <v>-1.2816561887934674E-2</v>
      </c>
    </row>
    <row r="234" spans="1:5" x14ac:dyDescent="0.35">
      <c r="A234" s="21" t="s">
        <v>15</v>
      </c>
      <c r="B234" s="18" t="s">
        <v>68</v>
      </c>
      <c r="C234" s="18">
        <v>2887.51</v>
      </c>
      <c r="D234">
        <f t="shared" si="3"/>
        <v>2920.44</v>
      </c>
      <c r="E234" s="16">
        <f>Table5[[#This Row],[Close]]/Table5[[#This Row],[runnig max]]-1</f>
        <v>-1.1275698182465654E-2</v>
      </c>
    </row>
    <row r="235" spans="1:5" x14ac:dyDescent="0.35">
      <c r="A235" s="22" t="s">
        <v>14</v>
      </c>
      <c r="B235" s="19" t="s">
        <v>68</v>
      </c>
      <c r="C235" s="19">
        <v>2882.36</v>
      </c>
      <c r="D235">
        <f t="shared" si="3"/>
        <v>2920.44</v>
      </c>
      <c r="E235" s="16">
        <f>Table5[[#This Row],[Close]]/Table5[[#This Row],[runnig max]]-1</f>
        <v>-1.3039131089835787E-2</v>
      </c>
    </row>
    <row r="236" spans="1:5" x14ac:dyDescent="0.35">
      <c r="A236" s="21" t="s">
        <v>13</v>
      </c>
      <c r="B236" s="18" t="s">
        <v>68</v>
      </c>
      <c r="C236" s="18">
        <v>2911.36</v>
      </c>
      <c r="D236">
        <f t="shared" si="3"/>
        <v>2920.44</v>
      </c>
      <c r="E236" s="16">
        <f>Table5[[#This Row],[Close]]/Table5[[#This Row],[runnig max]]-1</f>
        <v>-3.1091205434796709E-3</v>
      </c>
    </row>
    <row r="237" spans="1:5" x14ac:dyDescent="0.35">
      <c r="A237" s="22" t="s">
        <v>12</v>
      </c>
      <c r="B237" s="19" t="s">
        <v>68</v>
      </c>
      <c r="C237" s="19">
        <v>2869.39</v>
      </c>
      <c r="D237">
        <f t="shared" si="3"/>
        <v>2920.44</v>
      </c>
      <c r="E237" s="16">
        <f>Table5[[#This Row],[Close]]/Table5[[#This Row],[runnig max]]-1</f>
        <v>-1.7480242703154403E-2</v>
      </c>
    </row>
    <row r="238" spans="1:5" x14ac:dyDescent="0.35">
      <c r="A238" s="21" t="s">
        <v>11</v>
      </c>
      <c r="B238" s="18" t="s">
        <v>68</v>
      </c>
      <c r="C238" s="18">
        <v>2864.22</v>
      </c>
      <c r="D238">
        <f t="shared" si="3"/>
        <v>2920.44</v>
      </c>
      <c r="E238" s="16">
        <f>Table5[[#This Row],[Close]]/Table5[[#This Row],[runnig max]]-1</f>
        <v>-1.9250523893659999E-2</v>
      </c>
    </row>
    <row r="239" spans="1:5" x14ac:dyDescent="0.35">
      <c r="A239" s="22" t="s">
        <v>10</v>
      </c>
      <c r="B239" s="19" t="s">
        <v>68</v>
      </c>
      <c r="C239" s="19">
        <v>2886.01</v>
      </c>
      <c r="D239">
        <f t="shared" si="3"/>
        <v>2920.44</v>
      </c>
      <c r="E239" s="16">
        <f>Table5[[#This Row],[Close]]/Table5[[#This Row],[runnig max]]-1</f>
        <v>-1.1789319417621957E-2</v>
      </c>
    </row>
    <row r="240" spans="1:5" x14ac:dyDescent="0.35">
      <c r="A240" s="21" t="s">
        <v>9</v>
      </c>
      <c r="B240" s="18" t="s">
        <v>68</v>
      </c>
      <c r="C240" s="18">
        <v>2901</v>
      </c>
      <c r="D240">
        <f t="shared" si="3"/>
        <v>2920.44</v>
      </c>
      <c r="E240" s="16">
        <f>Table5[[#This Row],[Close]]/Table5[[#This Row],[runnig max]]-1</f>
        <v>-6.6565312076262151E-3</v>
      </c>
    </row>
    <row r="241" spans="1:5" x14ac:dyDescent="0.35">
      <c r="A241" s="22" t="s">
        <v>8</v>
      </c>
      <c r="B241" s="19" t="s">
        <v>68</v>
      </c>
      <c r="C241" s="19">
        <v>2893.28</v>
      </c>
      <c r="D241">
        <f t="shared" si="3"/>
        <v>2920.44</v>
      </c>
      <c r="E241" s="16">
        <f>Table5[[#This Row],[Close]]/Table5[[#This Row],[runnig max]]-1</f>
        <v>-9.2999684978974928E-3</v>
      </c>
    </row>
    <row r="242" spans="1:5" x14ac:dyDescent="0.35">
      <c r="A242" s="21" t="s">
        <v>67</v>
      </c>
      <c r="B242" s="18" t="s">
        <v>70</v>
      </c>
      <c r="C242" s="18">
        <v>1939.2</v>
      </c>
      <c r="D242">
        <f t="shared" si="3"/>
        <v>1939.2</v>
      </c>
      <c r="E242" s="16">
        <f>Table5[[#This Row],[Close]]/Table5[[#This Row],[runnig max]]-1</f>
        <v>0</v>
      </c>
    </row>
    <row r="243" spans="1:5" x14ac:dyDescent="0.35">
      <c r="A243" s="22" t="s">
        <v>66</v>
      </c>
      <c r="B243" s="19" t="s">
        <v>70</v>
      </c>
      <c r="C243" s="19">
        <v>1964.8</v>
      </c>
      <c r="D243">
        <f t="shared" si="3"/>
        <v>1964.8</v>
      </c>
      <c r="E243" s="16">
        <f>Table5[[#This Row],[Close]]/Table5[[#This Row],[runnig max]]-1</f>
        <v>0</v>
      </c>
    </row>
    <row r="244" spans="1:5" x14ac:dyDescent="0.35">
      <c r="A244" s="21" t="s">
        <v>65</v>
      </c>
      <c r="B244" s="18" t="s">
        <v>70</v>
      </c>
      <c r="C244" s="18">
        <v>1976.92</v>
      </c>
      <c r="D244">
        <f t="shared" si="3"/>
        <v>1976.92</v>
      </c>
      <c r="E244" s="16">
        <f>Table5[[#This Row],[Close]]/Table5[[#This Row],[runnig max]]-1</f>
        <v>0</v>
      </c>
    </row>
    <row r="245" spans="1:5" x14ac:dyDescent="0.35">
      <c r="A245" s="22" t="s">
        <v>64</v>
      </c>
      <c r="B245" s="19" t="s">
        <v>70</v>
      </c>
      <c r="C245" s="19">
        <v>1964.21</v>
      </c>
      <c r="D245">
        <f t="shared" si="3"/>
        <v>1976.92</v>
      </c>
      <c r="E245" s="16">
        <f>Table5[[#This Row],[Close]]/Table5[[#This Row],[runnig max]]-1</f>
        <v>-6.4291928859033787E-3</v>
      </c>
    </row>
    <row r="246" spans="1:5" x14ac:dyDescent="0.35">
      <c r="A246" s="21" t="s">
        <v>63</v>
      </c>
      <c r="B246" s="18" t="s">
        <v>70</v>
      </c>
      <c r="C246" s="18">
        <v>1951.14</v>
      </c>
      <c r="D246">
        <f t="shared" si="3"/>
        <v>1976.92</v>
      </c>
      <c r="E246" s="16">
        <f>Table5[[#This Row],[Close]]/Table5[[#This Row],[runnig max]]-1</f>
        <v>-1.3040487222548247E-2</v>
      </c>
    </row>
    <row r="247" spans="1:5" x14ac:dyDescent="0.35">
      <c r="A247" s="22" t="s">
        <v>62</v>
      </c>
      <c r="B247" s="19" t="s">
        <v>70</v>
      </c>
      <c r="C247" s="19">
        <v>1957.63</v>
      </c>
      <c r="D247">
        <f t="shared" si="3"/>
        <v>1976.92</v>
      </c>
      <c r="E247" s="16">
        <f>Table5[[#This Row],[Close]]/Table5[[#This Row],[runnig max]]-1</f>
        <v>-9.7576027355684714E-3</v>
      </c>
    </row>
    <row r="248" spans="1:5" x14ac:dyDescent="0.35">
      <c r="A248" s="21" t="s">
        <v>61</v>
      </c>
      <c r="B248" s="18" t="s">
        <v>70</v>
      </c>
      <c r="C248" s="18">
        <v>1934.04</v>
      </c>
      <c r="D248">
        <f t="shared" si="3"/>
        <v>1976.92</v>
      </c>
      <c r="E248" s="16">
        <f>Table5[[#This Row],[Close]]/Table5[[#This Row],[runnig max]]-1</f>
        <v>-2.169030613277223E-2</v>
      </c>
    </row>
    <row r="249" spans="1:5" x14ac:dyDescent="0.35">
      <c r="A249" s="22" t="s">
        <v>60</v>
      </c>
      <c r="B249" s="19" t="s">
        <v>70</v>
      </c>
      <c r="C249" s="19">
        <v>1953.65</v>
      </c>
      <c r="D249">
        <f t="shared" si="3"/>
        <v>1976.92</v>
      </c>
      <c r="E249" s="16">
        <f>Table5[[#This Row],[Close]]/Table5[[#This Row],[runnig max]]-1</f>
        <v>-1.1770835440989003E-2</v>
      </c>
    </row>
    <row r="250" spans="1:5" x14ac:dyDescent="0.35">
      <c r="A250" s="21" t="s">
        <v>59</v>
      </c>
      <c r="B250" s="18" t="s">
        <v>70</v>
      </c>
      <c r="C250" s="18">
        <v>1957.44</v>
      </c>
      <c r="D250">
        <f t="shared" si="3"/>
        <v>1976.92</v>
      </c>
      <c r="E250" s="16">
        <f>Table5[[#This Row],[Close]]/Table5[[#This Row],[runnig max]]-1</f>
        <v>-9.8537118345709551E-3</v>
      </c>
    </row>
    <row r="251" spans="1:5" x14ac:dyDescent="0.35">
      <c r="A251" s="22" t="s">
        <v>58</v>
      </c>
      <c r="B251" s="19" t="s">
        <v>70</v>
      </c>
      <c r="C251" s="19">
        <v>1962.99</v>
      </c>
      <c r="D251">
        <f t="shared" si="3"/>
        <v>1976.92</v>
      </c>
      <c r="E251" s="16">
        <f>Table5[[#This Row],[Close]]/Table5[[#This Row],[runnig max]]-1</f>
        <v>-7.0463144689719703E-3</v>
      </c>
    </row>
    <row r="252" spans="1:5" x14ac:dyDescent="0.35">
      <c r="A252" s="21" t="s">
        <v>57</v>
      </c>
      <c r="B252" s="18" t="s">
        <v>70</v>
      </c>
      <c r="C252" s="18">
        <v>1953</v>
      </c>
      <c r="D252">
        <f t="shared" si="3"/>
        <v>1976.92</v>
      </c>
      <c r="E252" s="16">
        <f>Table5[[#This Row],[Close]]/Table5[[#This Row],[runnig max]]-1</f>
        <v>-1.2099629727050143E-2</v>
      </c>
    </row>
    <row r="253" spans="1:5" x14ac:dyDescent="0.35">
      <c r="A253" s="22" t="s">
        <v>56</v>
      </c>
      <c r="B253" s="19" t="s">
        <v>70</v>
      </c>
      <c r="C253" s="19">
        <v>1950.97</v>
      </c>
      <c r="D253">
        <f t="shared" si="3"/>
        <v>1976.92</v>
      </c>
      <c r="E253" s="16">
        <f>Table5[[#This Row],[Close]]/Table5[[#This Row],[runnig max]]-1</f>
        <v>-1.3126479574287253E-2</v>
      </c>
    </row>
    <row r="254" spans="1:5" x14ac:dyDescent="0.35">
      <c r="A254" s="21" t="s">
        <v>55</v>
      </c>
      <c r="B254" s="18" t="s">
        <v>70</v>
      </c>
      <c r="C254" s="18">
        <v>1945.52</v>
      </c>
      <c r="D254">
        <f t="shared" si="3"/>
        <v>1976.92</v>
      </c>
      <c r="E254" s="16">
        <f>Table5[[#This Row],[Close]]/Table5[[#This Row],[runnig max]]-1</f>
        <v>-1.5883293203569182E-2</v>
      </c>
    </row>
    <row r="255" spans="1:5" x14ac:dyDescent="0.35">
      <c r="A255" s="22" t="s">
        <v>54</v>
      </c>
      <c r="B255" s="19" t="s">
        <v>70</v>
      </c>
      <c r="C255" s="19">
        <v>1953.34</v>
      </c>
      <c r="D255">
        <f t="shared" si="3"/>
        <v>1976.92</v>
      </c>
      <c r="E255" s="16">
        <f>Table5[[#This Row],[Close]]/Table5[[#This Row],[runnig max]]-1</f>
        <v>-1.1927645023572131E-2</v>
      </c>
    </row>
    <row r="256" spans="1:5" x14ac:dyDescent="0.35">
      <c r="A256" s="21" t="s">
        <v>53</v>
      </c>
      <c r="B256" s="18" t="s">
        <v>70</v>
      </c>
      <c r="C256" s="18">
        <v>1968.38</v>
      </c>
      <c r="D256">
        <f t="shared" si="3"/>
        <v>1976.92</v>
      </c>
      <c r="E256" s="16">
        <f>Table5[[#This Row],[Close]]/Table5[[#This Row],[runnig max]]-1</f>
        <v>-4.3198510814802527E-3</v>
      </c>
    </row>
    <row r="257" spans="1:5" x14ac:dyDescent="0.35">
      <c r="A257" s="22" t="s">
        <v>52</v>
      </c>
      <c r="B257" s="19" t="s">
        <v>70</v>
      </c>
      <c r="C257" s="19">
        <v>1952.84</v>
      </c>
      <c r="D257">
        <f t="shared" si="3"/>
        <v>1976.92</v>
      </c>
      <c r="E257" s="16">
        <f>Table5[[#This Row],[Close]]/Table5[[#This Row],[runnig max]]-1</f>
        <v>-1.2180563705157632E-2</v>
      </c>
    </row>
    <row r="258" spans="1:5" x14ac:dyDescent="0.35">
      <c r="A258" s="21" t="s">
        <v>51</v>
      </c>
      <c r="B258" s="18" t="s">
        <v>70</v>
      </c>
      <c r="C258" s="18">
        <v>1937.92</v>
      </c>
      <c r="D258">
        <f t="shared" ref="D258:D301" si="4">IF(B258=B257, MAX(D257, C258), C258)</f>
        <v>1976.92</v>
      </c>
      <c r="E258" s="16">
        <f>Table5[[#This Row],[Close]]/Table5[[#This Row],[runnig max]]-1</f>
        <v>-1.9727657163668755E-2</v>
      </c>
    </row>
    <row r="259" spans="1:5" x14ac:dyDescent="0.35">
      <c r="A259" s="22" t="s">
        <v>50</v>
      </c>
      <c r="B259" s="19" t="s">
        <v>70</v>
      </c>
      <c r="C259" s="19">
        <v>1949.47</v>
      </c>
      <c r="D259">
        <f t="shared" si="4"/>
        <v>1976.92</v>
      </c>
      <c r="E259" s="16">
        <f>Table5[[#This Row],[Close]]/Table5[[#This Row],[runnig max]]-1</f>
        <v>-1.3885235619043756E-2</v>
      </c>
    </row>
    <row r="260" spans="1:5" x14ac:dyDescent="0.35">
      <c r="A260" s="21" t="s">
        <v>49</v>
      </c>
      <c r="B260" s="18" t="s">
        <v>70</v>
      </c>
      <c r="C260" s="18">
        <v>1966.76</v>
      </c>
      <c r="D260">
        <f t="shared" si="4"/>
        <v>1976.92</v>
      </c>
      <c r="E260" s="16">
        <f>Table5[[#This Row],[Close]]/Table5[[#This Row],[runnig max]]-1</f>
        <v>-5.1393076098172896E-3</v>
      </c>
    </row>
    <row r="261" spans="1:5" x14ac:dyDescent="0.35">
      <c r="A261" s="22" t="s">
        <v>48</v>
      </c>
      <c r="B261" s="19" t="s">
        <v>70</v>
      </c>
      <c r="C261" s="19">
        <v>1950.72</v>
      </c>
      <c r="D261">
        <f t="shared" si="4"/>
        <v>1976.92</v>
      </c>
      <c r="E261" s="16">
        <f>Table5[[#This Row],[Close]]/Table5[[#This Row],[runnig max]]-1</f>
        <v>-1.3252938915080059E-2</v>
      </c>
    </row>
    <row r="262" spans="1:5" x14ac:dyDescent="0.35">
      <c r="A262" s="21" t="s">
        <v>47</v>
      </c>
      <c r="B262" s="18" t="s">
        <v>70</v>
      </c>
      <c r="C262" s="18">
        <v>1952.78</v>
      </c>
      <c r="D262">
        <f t="shared" si="4"/>
        <v>1976.92</v>
      </c>
      <c r="E262" s="16">
        <f>Table5[[#This Row],[Close]]/Table5[[#This Row],[runnig max]]-1</f>
        <v>-1.2210913946947843E-2</v>
      </c>
    </row>
    <row r="263" spans="1:5" x14ac:dyDescent="0.35">
      <c r="A263" s="22" t="s">
        <v>46</v>
      </c>
      <c r="B263" s="19" t="s">
        <v>70</v>
      </c>
      <c r="C263" s="19">
        <v>1970.26</v>
      </c>
      <c r="D263">
        <f t="shared" si="4"/>
        <v>1976.92</v>
      </c>
      <c r="E263" s="16">
        <f>Table5[[#This Row],[Close]]/Table5[[#This Row],[runnig max]]-1</f>
        <v>-3.3688768387188928E-3</v>
      </c>
    </row>
    <row r="264" spans="1:5" x14ac:dyDescent="0.35">
      <c r="A264" s="21" t="s">
        <v>45</v>
      </c>
      <c r="B264" s="18" t="s">
        <v>70</v>
      </c>
      <c r="C264" s="18">
        <v>1960.57</v>
      </c>
      <c r="D264">
        <f t="shared" si="4"/>
        <v>1976.92</v>
      </c>
      <c r="E264" s="16">
        <f>Table5[[#This Row],[Close]]/Table5[[#This Row],[runnig max]]-1</f>
        <v>-8.2704408878457869E-3</v>
      </c>
    </row>
    <row r="265" spans="1:5" x14ac:dyDescent="0.35">
      <c r="A265" s="22" t="s">
        <v>44</v>
      </c>
      <c r="B265" s="19" t="s">
        <v>70</v>
      </c>
      <c r="C265" s="19">
        <v>1950.08</v>
      </c>
      <c r="D265">
        <f t="shared" si="4"/>
        <v>1976.92</v>
      </c>
      <c r="E265" s="16">
        <f>Table5[[#This Row],[Close]]/Table5[[#This Row],[runnig max]]-1</f>
        <v>-1.3576674827509572E-2</v>
      </c>
    </row>
    <row r="266" spans="1:5" x14ac:dyDescent="0.35">
      <c r="A266" s="21" t="s">
        <v>43</v>
      </c>
      <c r="B266" s="18" t="s">
        <v>70</v>
      </c>
      <c r="C266" s="18">
        <v>1956.89</v>
      </c>
      <c r="D266">
        <f t="shared" si="4"/>
        <v>1976.92</v>
      </c>
      <c r="E266" s="16">
        <f>Table5[[#This Row],[Close]]/Table5[[#This Row],[runnig max]]-1</f>
        <v>-1.0131922384314929E-2</v>
      </c>
    </row>
    <row r="267" spans="1:5" x14ac:dyDescent="0.35">
      <c r="A267" s="22" t="s">
        <v>42</v>
      </c>
      <c r="B267" s="19" t="s">
        <v>70</v>
      </c>
      <c r="C267" s="19">
        <v>1944.26</v>
      </c>
      <c r="D267">
        <f t="shared" si="4"/>
        <v>1976.92</v>
      </c>
      <c r="E267" s="16">
        <f>Table5[[#This Row],[Close]]/Table5[[#This Row],[runnig max]]-1</f>
        <v>-1.6520648281164729E-2</v>
      </c>
    </row>
    <row r="268" spans="1:5" x14ac:dyDescent="0.35">
      <c r="A268" s="21" t="s">
        <v>41</v>
      </c>
      <c r="B268" s="18" t="s">
        <v>70</v>
      </c>
      <c r="C268" s="18">
        <v>1954.02</v>
      </c>
      <c r="D268">
        <f t="shared" si="4"/>
        <v>1976.92</v>
      </c>
      <c r="E268" s="16">
        <f>Table5[[#This Row],[Close]]/Table5[[#This Row],[runnig max]]-1</f>
        <v>-1.1583675616615774E-2</v>
      </c>
    </row>
    <row r="269" spans="1:5" x14ac:dyDescent="0.35">
      <c r="A269" s="22" t="s">
        <v>40</v>
      </c>
      <c r="B269" s="19" t="s">
        <v>70</v>
      </c>
      <c r="C269" s="19">
        <v>1940.94</v>
      </c>
      <c r="D269">
        <f t="shared" si="4"/>
        <v>1976.92</v>
      </c>
      <c r="E269" s="16">
        <f>Table5[[#This Row],[Close]]/Table5[[#This Row],[runnig max]]-1</f>
        <v>-1.8200028326892381E-2</v>
      </c>
    </row>
    <row r="270" spans="1:5" x14ac:dyDescent="0.35">
      <c r="A270" s="21" t="s">
        <v>39</v>
      </c>
      <c r="B270" s="18" t="s">
        <v>70</v>
      </c>
      <c r="C270" s="18">
        <v>1962.22</v>
      </c>
      <c r="D270">
        <f t="shared" si="4"/>
        <v>1976.92</v>
      </c>
      <c r="E270" s="16">
        <f>Table5[[#This Row],[Close]]/Table5[[#This Row],[runnig max]]-1</f>
        <v>-7.4358092386136443E-3</v>
      </c>
    </row>
    <row r="271" spans="1:5" x14ac:dyDescent="0.35">
      <c r="A271" s="22" t="s">
        <v>38</v>
      </c>
      <c r="B271" s="19" t="s">
        <v>70</v>
      </c>
      <c r="C271" s="19">
        <v>1952.78</v>
      </c>
      <c r="D271">
        <f t="shared" si="4"/>
        <v>1976.92</v>
      </c>
      <c r="E271" s="16">
        <f>Table5[[#This Row],[Close]]/Table5[[#This Row],[runnig max]]-1</f>
        <v>-1.2210913946947843E-2</v>
      </c>
    </row>
    <row r="272" spans="1:5" x14ac:dyDescent="0.35">
      <c r="A272" s="21" t="s">
        <v>37</v>
      </c>
      <c r="B272" s="18" t="s">
        <v>70</v>
      </c>
      <c r="C272" s="18">
        <v>1966.31</v>
      </c>
      <c r="D272">
        <f t="shared" si="4"/>
        <v>1976.92</v>
      </c>
      <c r="E272" s="16">
        <f>Table5[[#This Row],[Close]]/Table5[[#This Row],[runnig max]]-1</f>
        <v>-5.3669344232443184E-3</v>
      </c>
    </row>
    <row r="273" spans="1:5" x14ac:dyDescent="0.35">
      <c r="A273" s="22" t="s">
        <v>36</v>
      </c>
      <c r="B273" s="19" t="s">
        <v>70</v>
      </c>
      <c r="C273" s="19">
        <v>1934.74</v>
      </c>
      <c r="D273">
        <f t="shared" si="4"/>
        <v>1976.92</v>
      </c>
      <c r="E273" s="16">
        <f>Table5[[#This Row],[Close]]/Table5[[#This Row],[runnig max]]-1</f>
        <v>-2.1336219978552506E-2</v>
      </c>
    </row>
    <row r="274" spans="1:5" x14ac:dyDescent="0.35">
      <c r="A274" s="21" t="s">
        <v>35</v>
      </c>
      <c r="B274" s="18" t="s">
        <v>70</v>
      </c>
      <c r="C274" s="18">
        <v>1986.59</v>
      </c>
      <c r="D274">
        <f t="shared" si="4"/>
        <v>1986.59</v>
      </c>
      <c r="E274" s="16">
        <f>Table5[[#This Row],[Close]]/Table5[[#This Row],[runnig max]]-1</f>
        <v>0</v>
      </c>
    </row>
    <row r="275" spans="1:5" x14ac:dyDescent="0.35">
      <c r="A275" s="22" t="s">
        <v>34</v>
      </c>
      <c r="B275" s="19" t="s">
        <v>70</v>
      </c>
      <c r="C275" s="19">
        <v>1946.57</v>
      </c>
      <c r="D275">
        <f t="shared" si="4"/>
        <v>1986.59</v>
      </c>
      <c r="E275" s="16">
        <f>Table5[[#This Row],[Close]]/Table5[[#This Row],[runnig max]]-1</f>
        <v>-2.0145072712537515E-2</v>
      </c>
    </row>
    <row r="276" spans="1:5" x14ac:dyDescent="0.35">
      <c r="A276" s="21" t="s">
        <v>33</v>
      </c>
      <c r="B276" s="18" t="s">
        <v>70</v>
      </c>
      <c r="C276" s="18">
        <v>1950.54</v>
      </c>
      <c r="D276">
        <f t="shared" si="4"/>
        <v>1986.59</v>
      </c>
      <c r="E276" s="16">
        <f>Table5[[#This Row],[Close]]/Table5[[#This Row],[runnig max]]-1</f>
        <v>-1.8146673445451733E-2</v>
      </c>
    </row>
    <row r="277" spans="1:5" x14ac:dyDescent="0.35">
      <c r="A277" s="22" t="s">
        <v>32</v>
      </c>
      <c r="B277" s="19" t="s">
        <v>70</v>
      </c>
      <c r="C277" s="19">
        <v>1966.09</v>
      </c>
      <c r="D277">
        <f t="shared" si="4"/>
        <v>1986.59</v>
      </c>
      <c r="E277" s="16">
        <f>Table5[[#This Row],[Close]]/Table5[[#This Row],[runnig max]]-1</f>
        <v>-1.031919017009042E-2</v>
      </c>
    </row>
    <row r="278" spans="1:5" x14ac:dyDescent="0.35">
      <c r="A278" s="21" t="s">
        <v>31</v>
      </c>
      <c r="B278" s="18" t="s">
        <v>70</v>
      </c>
      <c r="C278" s="18">
        <v>1953.75</v>
      </c>
      <c r="D278">
        <f t="shared" si="4"/>
        <v>1986.59</v>
      </c>
      <c r="E278" s="16">
        <f>Table5[[#This Row],[Close]]/Table5[[#This Row],[runnig max]]-1</f>
        <v>-1.6530839277354659E-2</v>
      </c>
    </row>
    <row r="279" spans="1:5" x14ac:dyDescent="0.35">
      <c r="A279" s="22" t="s">
        <v>30</v>
      </c>
      <c r="B279" s="19" t="s">
        <v>70</v>
      </c>
      <c r="C279" s="19">
        <v>1959.02</v>
      </c>
      <c r="D279">
        <f t="shared" si="4"/>
        <v>1986.59</v>
      </c>
      <c r="E279" s="16">
        <f>Table5[[#This Row],[Close]]/Table5[[#This Row],[runnig max]]-1</f>
        <v>-1.3878052340945968E-2</v>
      </c>
    </row>
    <row r="280" spans="1:5" x14ac:dyDescent="0.35">
      <c r="A280" s="21" t="s">
        <v>29</v>
      </c>
      <c r="B280" s="18" t="s">
        <v>70</v>
      </c>
      <c r="C280" s="18">
        <v>1945.3</v>
      </c>
      <c r="D280">
        <f t="shared" si="4"/>
        <v>1986.59</v>
      </c>
      <c r="E280" s="16">
        <f>Table5[[#This Row],[Close]]/Table5[[#This Row],[runnig max]]-1</f>
        <v>-2.0784359127952956E-2</v>
      </c>
    </row>
    <row r="281" spans="1:5" x14ac:dyDescent="0.35">
      <c r="A281" s="22" t="s">
        <v>28</v>
      </c>
      <c r="B281" s="19" t="s">
        <v>70</v>
      </c>
      <c r="C281" s="19">
        <v>1972.61</v>
      </c>
      <c r="D281">
        <f t="shared" si="4"/>
        <v>1986.59</v>
      </c>
      <c r="E281" s="16">
        <f>Table5[[#This Row],[Close]]/Table5[[#This Row],[runnig max]]-1</f>
        <v>-7.0371843208714147E-3</v>
      </c>
    </row>
    <row r="282" spans="1:5" x14ac:dyDescent="0.35">
      <c r="A282" s="21" t="s">
        <v>27</v>
      </c>
      <c r="B282" s="18" t="s">
        <v>70</v>
      </c>
      <c r="C282" s="18">
        <v>1966.05</v>
      </c>
      <c r="D282">
        <f t="shared" si="4"/>
        <v>1986.59</v>
      </c>
      <c r="E282" s="16">
        <f>Table5[[#This Row],[Close]]/Table5[[#This Row],[runnig max]]-1</f>
        <v>-1.033932517530034E-2</v>
      </c>
    </row>
    <row r="283" spans="1:5" x14ac:dyDescent="0.35">
      <c r="A283" s="22" t="s">
        <v>26</v>
      </c>
      <c r="B283" s="19" t="s">
        <v>70</v>
      </c>
      <c r="C283" s="19">
        <v>1953.48</v>
      </c>
      <c r="D283">
        <f t="shared" si="4"/>
        <v>1986.59</v>
      </c>
      <c r="E283" s="16">
        <f>Table5[[#This Row],[Close]]/Table5[[#This Row],[runnig max]]-1</f>
        <v>-1.6666750562521648E-2</v>
      </c>
    </row>
    <row r="284" spans="1:5" x14ac:dyDescent="0.35">
      <c r="A284" s="21" t="s">
        <v>25</v>
      </c>
      <c r="B284" s="18" t="s">
        <v>70</v>
      </c>
      <c r="C284" s="18">
        <v>1953.62</v>
      </c>
      <c r="D284">
        <f t="shared" si="4"/>
        <v>1986.59</v>
      </c>
      <c r="E284" s="16">
        <f>Table5[[#This Row],[Close]]/Table5[[#This Row],[runnig max]]-1</f>
        <v>-1.6596278044286983E-2</v>
      </c>
    </row>
    <row r="285" spans="1:5" x14ac:dyDescent="0.35">
      <c r="A285" s="22" t="s">
        <v>24</v>
      </c>
      <c r="B285" s="19" t="s">
        <v>70</v>
      </c>
      <c r="C285" s="19">
        <v>1957.95</v>
      </c>
      <c r="D285">
        <f t="shared" si="4"/>
        <v>1986.59</v>
      </c>
      <c r="E285" s="16">
        <f>Table5[[#This Row],[Close]]/Table5[[#This Row],[runnig max]]-1</f>
        <v>-1.4416663730311696E-2</v>
      </c>
    </row>
    <row r="286" spans="1:5" x14ac:dyDescent="0.35">
      <c r="A286" s="21" t="s">
        <v>23</v>
      </c>
      <c r="B286" s="18" t="s">
        <v>70</v>
      </c>
      <c r="C286" s="18">
        <v>1950.92</v>
      </c>
      <c r="D286">
        <f t="shared" si="4"/>
        <v>1986.59</v>
      </c>
      <c r="E286" s="16">
        <f>Table5[[#This Row],[Close]]/Table5[[#This Row],[runnig max]]-1</f>
        <v>-1.7955390895957324E-2</v>
      </c>
    </row>
    <row r="287" spans="1:5" x14ac:dyDescent="0.35">
      <c r="A287" s="22" t="s">
        <v>22</v>
      </c>
      <c r="B287" s="19" t="s">
        <v>70</v>
      </c>
      <c r="C287" s="19">
        <v>1956.98</v>
      </c>
      <c r="D287">
        <f t="shared" si="4"/>
        <v>1986.59</v>
      </c>
      <c r="E287" s="16">
        <f>Table5[[#This Row],[Close]]/Table5[[#This Row],[runnig max]]-1</f>
        <v>-1.4904937606652569E-2</v>
      </c>
    </row>
    <row r="288" spans="1:5" x14ac:dyDescent="0.35">
      <c r="A288" s="21" t="s">
        <v>21</v>
      </c>
      <c r="B288" s="18" t="s">
        <v>70</v>
      </c>
      <c r="C288" s="18">
        <v>1934.74</v>
      </c>
      <c r="D288">
        <f t="shared" si="4"/>
        <v>1986.59</v>
      </c>
      <c r="E288" s="16">
        <f>Table5[[#This Row],[Close]]/Table5[[#This Row],[runnig max]]-1</f>
        <v>-2.6100000503375131E-2</v>
      </c>
    </row>
    <row r="289" spans="1:5" x14ac:dyDescent="0.35">
      <c r="A289" s="22" t="s">
        <v>20</v>
      </c>
      <c r="B289" s="19" t="s">
        <v>70</v>
      </c>
      <c r="C289" s="19">
        <v>1959.9</v>
      </c>
      <c r="D289">
        <f t="shared" si="4"/>
        <v>1986.59</v>
      </c>
      <c r="E289" s="16">
        <f>Table5[[#This Row],[Close]]/Table5[[#This Row],[runnig max]]-1</f>
        <v>-1.3435082226327388E-2</v>
      </c>
    </row>
    <row r="290" spans="1:5" x14ac:dyDescent="0.35">
      <c r="A290" s="21" t="s">
        <v>19</v>
      </c>
      <c r="B290" s="18" t="s">
        <v>70</v>
      </c>
      <c r="C290" s="18">
        <v>1952.34</v>
      </c>
      <c r="D290">
        <f t="shared" si="4"/>
        <v>1986.59</v>
      </c>
      <c r="E290" s="16">
        <f>Table5[[#This Row],[Close]]/Table5[[#This Row],[runnig max]]-1</f>
        <v>-1.7240598211004765E-2</v>
      </c>
    </row>
    <row r="291" spans="1:5" x14ac:dyDescent="0.35">
      <c r="A291" s="22" t="s">
        <v>18</v>
      </c>
      <c r="B291" s="19" t="s">
        <v>70</v>
      </c>
      <c r="C291" s="19">
        <v>1964.04</v>
      </c>
      <c r="D291">
        <f t="shared" si="4"/>
        <v>1986.59</v>
      </c>
      <c r="E291" s="16">
        <f>Table5[[#This Row],[Close]]/Table5[[#This Row],[runnig max]]-1</f>
        <v>-1.1351109187099473E-2</v>
      </c>
    </row>
    <row r="292" spans="1:5" x14ac:dyDescent="0.35">
      <c r="A292" s="21" t="s">
        <v>17</v>
      </c>
      <c r="B292" s="18" t="s">
        <v>70</v>
      </c>
      <c r="C292" s="18">
        <v>1959.01</v>
      </c>
      <c r="D292">
        <f t="shared" si="4"/>
        <v>1986.59</v>
      </c>
      <c r="E292" s="16">
        <f>Table5[[#This Row],[Close]]/Table5[[#This Row],[runnig max]]-1</f>
        <v>-1.3883086092248531E-2</v>
      </c>
    </row>
    <row r="293" spans="1:5" x14ac:dyDescent="0.35">
      <c r="A293" s="22" t="s">
        <v>16</v>
      </c>
      <c r="B293" s="19" t="s">
        <v>70</v>
      </c>
      <c r="C293" s="19">
        <v>1922.94</v>
      </c>
      <c r="D293">
        <f t="shared" si="4"/>
        <v>1986.59</v>
      </c>
      <c r="E293" s="16">
        <f>Table5[[#This Row],[Close]]/Table5[[#This Row],[runnig max]]-1</f>
        <v>-3.2039827040305169E-2</v>
      </c>
    </row>
    <row r="294" spans="1:5" x14ac:dyDescent="0.35">
      <c r="A294" s="21" t="s">
        <v>15</v>
      </c>
      <c r="B294" s="18" t="s">
        <v>70</v>
      </c>
      <c r="C294" s="18">
        <v>1953.19</v>
      </c>
      <c r="D294">
        <f t="shared" si="4"/>
        <v>1986.59</v>
      </c>
      <c r="E294" s="16">
        <f>Table5[[#This Row],[Close]]/Table5[[#This Row],[runnig max]]-1</f>
        <v>-1.6812729350293654E-2</v>
      </c>
    </row>
    <row r="295" spans="1:5" x14ac:dyDescent="0.35">
      <c r="A295" s="22" t="s">
        <v>14</v>
      </c>
      <c r="B295" s="19" t="s">
        <v>70</v>
      </c>
      <c r="C295" s="19">
        <v>1951.23</v>
      </c>
      <c r="D295">
        <f t="shared" si="4"/>
        <v>1986.59</v>
      </c>
      <c r="E295" s="16">
        <f>Table5[[#This Row],[Close]]/Table5[[#This Row],[runnig max]]-1</f>
        <v>-1.7799344605580414E-2</v>
      </c>
    </row>
    <row r="296" spans="1:5" x14ac:dyDescent="0.35">
      <c r="A296" s="21" t="s">
        <v>13</v>
      </c>
      <c r="B296" s="18" t="s">
        <v>70</v>
      </c>
      <c r="C296" s="18">
        <v>1947.95</v>
      </c>
      <c r="D296">
        <f t="shared" si="4"/>
        <v>1986.59</v>
      </c>
      <c r="E296" s="16">
        <f>Table5[[#This Row],[Close]]/Table5[[#This Row],[runnig max]]-1</f>
        <v>-1.9450415032794877E-2</v>
      </c>
    </row>
    <row r="297" spans="1:5" x14ac:dyDescent="0.35">
      <c r="A297" s="22" t="s">
        <v>12</v>
      </c>
      <c r="B297" s="19" t="s">
        <v>70</v>
      </c>
      <c r="C297" s="19">
        <v>1941.33</v>
      </c>
      <c r="D297">
        <f t="shared" si="4"/>
        <v>1986.59</v>
      </c>
      <c r="E297" s="16">
        <f>Table5[[#This Row],[Close]]/Table5[[#This Row],[runnig max]]-1</f>
        <v>-2.2782758395038738E-2</v>
      </c>
    </row>
    <row r="298" spans="1:5" x14ac:dyDescent="0.35">
      <c r="A298" s="21" t="s">
        <v>11</v>
      </c>
      <c r="B298" s="18" t="s">
        <v>70</v>
      </c>
      <c r="C298" s="18">
        <v>1980.86</v>
      </c>
      <c r="D298">
        <f t="shared" si="4"/>
        <v>1986.59</v>
      </c>
      <c r="E298" s="16">
        <f>Table5[[#This Row],[Close]]/Table5[[#This Row],[runnig max]]-1</f>
        <v>-2.8843394963228297E-3</v>
      </c>
    </row>
    <row r="299" spans="1:5" x14ac:dyDescent="0.35">
      <c r="A299" s="22" t="s">
        <v>10</v>
      </c>
      <c r="B299" s="19" t="s">
        <v>70</v>
      </c>
      <c r="C299" s="19">
        <v>1950.27</v>
      </c>
      <c r="D299">
        <f t="shared" si="4"/>
        <v>1986.59</v>
      </c>
      <c r="E299" s="16">
        <f>Table5[[#This Row],[Close]]/Table5[[#This Row],[runnig max]]-1</f>
        <v>-1.8282584730618723E-2</v>
      </c>
    </row>
    <row r="300" spans="1:5" x14ac:dyDescent="0.35">
      <c r="A300" s="21" t="s">
        <v>9</v>
      </c>
      <c r="B300" s="18" t="s">
        <v>70</v>
      </c>
      <c r="C300" s="18">
        <v>1940.92</v>
      </c>
      <c r="D300">
        <f t="shared" si="4"/>
        <v>1986.59</v>
      </c>
      <c r="E300" s="16">
        <f>Table5[[#This Row],[Close]]/Table5[[#This Row],[runnig max]]-1</f>
        <v>-2.2989142198440504E-2</v>
      </c>
    </row>
    <row r="301" spans="1:5" x14ac:dyDescent="0.35">
      <c r="A301" s="22" t="s">
        <v>8</v>
      </c>
      <c r="B301" s="19" t="s">
        <v>70</v>
      </c>
      <c r="C301" s="19">
        <v>1946.31</v>
      </c>
      <c r="D301">
        <f t="shared" si="4"/>
        <v>1986.59</v>
      </c>
      <c r="E301" s="16">
        <f>Table5[[#This Row],[Close]]/Table5[[#This Row],[runnig max]]-1</f>
        <v>-2.0275950246402163E-2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table1</vt:lpstr>
      <vt:lpstr>Sheet1</vt:lpstr>
      <vt:lpstr>pivot table2</vt:lpstr>
      <vt:lpstr>rsi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Satheesan</dc:creator>
  <cp:lastModifiedBy>pranav A S</cp:lastModifiedBy>
  <dcterms:created xsi:type="dcterms:W3CDTF">2025-06-05T04:28:10Z</dcterms:created>
  <dcterms:modified xsi:type="dcterms:W3CDTF">2025-08-25T16:00:51Z</dcterms:modified>
</cp:coreProperties>
</file>